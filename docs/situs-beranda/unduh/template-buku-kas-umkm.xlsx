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Daftar" state="visible" r:id="rId5"/>
    <sheet sheetId="3" name="Kas Masuk" state="visible" r:id="rId6"/>
    <sheet sheetId="4" name="Kas Keluar" state="visible" r:id="rId7"/>
    <sheet sheetId="5" name="Ringkasan Bulanan" state="visible" r:id="rId8"/>
    <sheet sheetId="6" name="Utang Piutang" state="visible" r:id="rId9"/>
  </sheets>
  <calcPr calcId="171027" fullCalcOnLoad="1"/>
</workbook>
</file>

<file path=xl/sharedStrings.xml><?xml version="1.0" encoding="utf-8"?>
<sst xmlns="http://schemas.openxmlformats.org/spreadsheetml/2006/main" count="123" uniqueCount="102">
  <si>
    <t>Template Buku Kas UMKM</t>
  </si>
  <si>
    <t>Gratis dari LaciQ (laciq.solusimandiri.id). Tidak ada makro, tidak perlu internet, tidak perlu daftar.</t>
  </si>
  <si>
    <t/>
  </si>
  <si>
    <t>Cara pakai (3 langkah)</t>
  </si>
  <si>
    <t>1. Hapus baris contoh (tulisannya abu-abu miring dan berawalan "Contoh:") di lembar Kas Masuk, Kas Keluar, dan Utang Piutang.</t>
  </si>
  <si>
    <t>2. Catat setiap uang masuk di Kas Masuk dan setiap uang keluar di Kas Keluar. Kolom "Untuk" membedakan pengeluaran Usaha dari uang yang kamu ambil untuk pribadi (Prive).</t>
  </si>
  <si>
    <t>3. Buka Ringkasan Bulanan. Isi Tahun dan Saldo awal tahun, lalu lihat kas masuk, kas keluar, laba kas, prive, dan saldo tiap bulan.</t>
  </si>
  <si>
    <t>Aturan singkat</t>
  </si>
  <si>
    <t>• Sel berlatar kuning diisi manual. Sel lain berisi rumus, jangan diketik ulang.</t>
  </si>
  <si>
    <t>• Template menampung 1.000 baris Kas Masuk, 1.000 baris Kas Keluar, dan 500 catatan utang/piutang. Untuk lebih banyak, buat salinan berkas per tahun.</t>
  </si>
  <si>
    <t>• Nama kategori bisa diubah di lembar Daftar.</t>
  </si>
  <si>
    <t>• Tulis jumlah sebagai angka positif. Uang keluar dicatat di Kas Keluar, bukan sebagai angka minus.</t>
  </si>
  <si>
    <t>• Jangan mengganti kata "Usaha" dan "Prive" di kolom Untuk, serta "Piutang" dan "Utang" di Utang Piutang: rumus mencarinya persis.</t>
  </si>
  <si>
    <t>Batasan</t>
  </si>
  <si>
    <t>Template ini pencatat uang tunai sederhana, bukan laporan laba rugi, neraca, atau perhitungan pajak. Untuk pembukuan resmi atau pajak, tanyakan akuntan atau konsultan pajak.</t>
  </si>
  <si>
    <t>Bosan mengetik di Excel?</t>
  </si>
  <si>
    <t>LaciQ (aplikasi Android) mencatat dari HP dan bisa mengekspor laporan ke Excel (fitur Premium). Tanpa akun, data tersimpan di HP-mu. Cari "LaciQ: Buku Kas &amp; Catatan Uang" di Google Play.</t>
  </si>
  <si>
    <t>Daftar kategori</t>
  </si>
  <si>
    <t>Ubah nama kategori sesuai usahamu. Pilihan di lembar Kas Masuk/Kas Keluar mengikuti daftar ini.</t>
  </si>
  <si>
    <t>Kategori Kas Masuk</t>
  </si>
  <si>
    <t>Kategori Kas Keluar</t>
  </si>
  <si>
    <t>Penjualan</t>
  </si>
  <si>
    <t>Bahan baku/stok</t>
  </si>
  <si>
    <t>Jasa</t>
  </si>
  <si>
    <t>Gaji &amp; upah</t>
  </si>
  <si>
    <t>Modal disetor</t>
  </si>
  <si>
    <t>Sewa</t>
  </si>
  <si>
    <t>Pinjaman diterima</t>
  </si>
  <si>
    <t>Listrik, air &amp; internet</t>
  </si>
  <si>
    <t>Pendapatan lain</t>
  </si>
  <si>
    <t>Transport &amp; kirim</t>
  </si>
  <si>
    <t>Pemasaran &amp; iklan</t>
  </si>
  <si>
    <t>Peralatan</t>
  </si>
  <si>
    <t>Pajak &amp; biaya admin</t>
  </si>
  <si>
    <t>Cicilan usaha</t>
  </si>
  <si>
    <t>Lain-lain</t>
  </si>
  <si>
    <t>Kas Masuk</t>
  </si>
  <si>
    <t>Catat setiap uang yang masuk ke usaha. Kolom berlatar kuning diisi manual.</t>
  </si>
  <si>
    <t>Tanggal</t>
  </si>
  <si>
    <t>Keterangan</t>
  </si>
  <si>
    <t>Kategori</t>
  </si>
  <si>
    <t>Dari (pelanggan/sumber)</t>
  </si>
  <si>
    <t>Jumlah (Rp)</t>
  </si>
  <si>
    <t>Contoh: penjualan harian</t>
  </si>
  <si>
    <t>Pelanggan umum</t>
  </si>
  <si>
    <t>Contoh: pesanan katering</t>
  </si>
  <si>
    <t>Ibu Sari</t>
  </si>
  <si>
    <t>Contoh: modal tambahan</t>
  </si>
  <si>
    <t>Pemilik</t>
  </si>
  <si>
    <t>Kas Keluar</t>
  </si>
  <si>
    <t>Kolom "Untuk" memisahkan pengeluaran usaha dari uang yang kamu ambil untuk pribadi (Prive).</t>
  </si>
  <si>
    <t>Untuk</t>
  </si>
  <si>
    <t>Contoh: belanja bahan</t>
  </si>
  <si>
    <t>Usaha</t>
  </si>
  <si>
    <t>Contoh: bayar listrik toko</t>
  </si>
  <si>
    <t>Contoh: ambil untuk pribadi</t>
  </si>
  <si>
    <t>Prive</t>
  </si>
  <si>
    <t>Ringkasan Bulanan</t>
  </si>
  <si>
    <t>Terhitung otomatis dari lembar Kas Masuk dan Kas Keluar. Jangan ketik di sel tanpa latar kuning.</t>
  </si>
  <si>
    <t>Tahun</t>
  </si>
  <si>
    <t>Ganti tahun untuk melihat tahun lain.</t>
  </si>
  <si>
    <t>Saldo awal tahun (Rp)</t>
  </si>
  <si>
    <t>Uang usaha yang kamu pegang di awal tahun (kas + saldo rekening usaha).</t>
  </si>
  <si>
    <t>Bulan</t>
  </si>
  <si>
    <t>Kas Keluar (Usaha)</t>
  </si>
  <si>
    <t>Laba Kas Usaha</t>
  </si>
  <si>
    <t>Prive (ambil pribadi)</t>
  </si>
  <si>
    <t>Saldo Akhir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</si>
  <si>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</si>
  <si>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</si>
  <si>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</si>
  <si>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</si>
  <si>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</si>
  <si>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</si>
  <si>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</si>
  <si>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</si>
  <si>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</si>
  <si>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</si>
  <si>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</si>
  <si>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</si>
  <si>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tahun</t>
  </si>
  <si>
    <t>Laba Kas Usaha = Kas Masuk dikurangi Kas Keluar (Usaha). Ini hitungan uang tunai, bukan laporan laba rugi akuntansi. Modal disetor dan pinjaman yang diterima ikut terhitung sebagai Kas Masuk.</t>
  </si>
  <si>
    <t>Kategori Kas Masuk (setahun)</t>
  </si>
  <si>
    <t>Total (Rp)</t>
  </si>
  <si>
    <t>Kategori Kas Keluar Usaha (setahun)</t>
  </si>
  <si>
    <t>Utang &amp; Piutang</t>
  </si>
  <si>
    <t>Piutang = orang lain berutang kepadamu. Utang = kamu berutang kepada orang lain. Isi "Dibayar" setiap ada pembayaran.</t>
  </si>
  <si>
    <t>Total Piutang belum dibayar</t>
  </si>
  <si>
    <t>Total Utang belum dibayar</t>
  </si>
  <si>
    <t>Jatuh tempo terlewat (jumlah catatan)</t>
  </si>
  <si>
    <t>Jenis</t>
  </si>
  <si>
    <t>Nama</t>
  </si>
  <si>
    <t>Jatuh tempo</t>
  </si>
  <si>
    <t>Dibayar (Rp)</t>
  </si>
  <si>
    <t>Sisa (Rp)</t>
  </si>
  <si>
    <t>Status</t>
  </si>
  <si>
    <t>Piutang</t>
  </si>
  <si>
    <t>Contoh: Toko Maju</t>
  </si>
  <si>
    <t>Contoh: pesanan 20 kotak</t>
  </si>
  <si>
    <t>Utang</t>
  </si>
  <si>
    <t>Contoh: Pemasok tepung</t>
  </si>
  <si>
    <t>Contoh: bahan baku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</si>
</sst>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;[Red]-#,##0"/>
  </numFmts>
  <fonts count="9" x14ac:knownFonts="1">
    <font>
      <color theme="1"/>
      <family val="2"/>
      <scheme val="minor"/>
      <sz val="11"/>
      <name val="Calibri"/>
    </font>
    <font>
      <b/>
      <color rgb="FF1F2A5C"/>
      <sz val="20"/>
    </font>
    <font>
      <i/>
      <color rgb="FF555B7A"/>
    </font>
    <font>
      <b/>
      <color rgb="FF1F2A5C"/>
      <sz val="13"/>
    </font>
    <font>
      <b/>
      <color rgb="FF1F2A5C"/>
      <sz val="16"/>
    </font>
    <font>
      <b/>
      <color rgb="FFFFFFFF"/>
    </font>
    <font>
      <i/>
      <color rgb="FF8A8FA8"/>
    </font>
    <font>
      <b/>
    </font>
    <font>
      <i/>
      <color rgb="FF555B7A"/>
      <sz val="10"/>
    </font>
  </fonts>
  <fills count="5">
    <fill>
      <patternFill patternType="none"/>
    </fill>
    <fill>
      <patternFill patternType="gray125"/>
    </fill>
    <fill>
      <patternFill patternType="solid">
        <fgColor rgb="FF1F2A5C"/>
      </patternFill>
    </fill>
    <fill>
      <patternFill patternType="solid">
        <fgColor rgb="FFFFF9E5"/>
      </patternFill>
    </fill>
    <fill>
      <patternFill patternType="solid">
        <fgColor rgb="FFEEF1FF"/>
      </patternFill>
    </fill>
  </fills>
  <borders count="3">
    <border>
      <left/>
      <right/>
      <top/>
      <bottom/>
      <diagonal/>
    </border>
    <border>
      <left style="thin">
        <color rgb="FFD0D5E8"/>
      </left>
      <right style="thin">
        <color rgb="FFD0D5E8"/>
      </right>
      <top style="thin">
        <color rgb="FFD0D5E8"/>
      </top>
      <bottom style="thin">
        <color rgb="FFD0D5E8"/>
      </bottom>
      <diagonal/>
    </border>
    <border>
      <left style="thin">
        <color rgb="FFD0D5E8"/>
      </left>
      <right style="thin">
        <color rgb="FFD0D5E8"/>
      </right>
      <top style="medium">
        <color rgb="FF1F2A5C"/>
      </top>
      <bottom style="thin">
        <color rgb="FFD0D5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6" fillId="3" borderId="1" xfId="0" applyNumberFormat="1" applyFont="1" applyFill="1" applyBorder="1"/>
    <xf numFmtId="0" fontId="6" fillId="3" borderId="1" xfId="0" applyFont="1" applyFill="1" applyBorder="1"/>
    <xf numFmtId="165" fontId="6" fillId="3" borderId="1" xfId="0" applyNumberFormat="1" applyFon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7" fillId="0" borderId="0" xfId="0" applyFont="1"/>
    <xf numFmtId="0" fontId="0" fillId="0" borderId="1" xfId="0" applyBorder="1"/>
    <xf numFmtId="165" fontId="0" fillId="0" borderId="1" xfId="0" applyNumberFormat="1" applyBorder="1"/>
    <xf numFmtId="0" fontId="0" fillId="4" borderId="1" xfId="0" applyFill="1" applyBorder="1"/>
    <xf numFmtId="165" fontId="0" fillId="4" borderId="1" xfId="0" applyNumberFormat="1" applyFill="1" applyBorder="1"/>
    <xf numFmtId="0" fontId="7" fillId="0" borderId="2" xfId="0" applyFont="1" applyBorder="1"/>
    <xf numFmtId="165" fontId="7" fillId="0" borderId="2" xfId="0" applyNumberFormat="1" applyFont="1" applyBorder="1"/>
    <xf numFmtId="0" fontId="8" fillId="0" borderId="0" xfId="0" applyFont="1" applyAlignment="1">
      <alignment vertical="top" wrapText="1"/>
    </xf>
    <xf numFmtId="165" fontId="7" fillId="0" borderId="1" xfId="0" applyNumberFormat="1" applyFont="1" applyBorder="1"/>
    <xf numFmtId="0" fontId="7" fillId="0" borderId="1" xfId="0" applyFont="1" applyBorder="1"/>
  </cellXfs>
  <cellStyles count="1">
    <cellStyle name="Normal" xfId="0" builtinId="0"/>
  </cellStyles>
  <dxfs count="2"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A5C"/>
  </sheetPr>
  <dimension ref="A1:A20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2</v>
      </c>
    </row>
    <row r="9" spans="1:1" x14ac:dyDescent="0.25">
      <c r="A9" s="4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2</v>
      </c>
    </row>
    <row r="16" spans="1:1" x14ac:dyDescent="0.25">
      <c r="A16" s="4" t="s">
        <v>13</v>
      </c>
    </row>
    <row r="17" spans="1:1" x14ac:dyDescent="0.25">
      <c r="A17" s="3" t="s">
        <v>14</v>
      </c>
    </row>
    <row r="18" spans="1:1" x14ac:dyDescent="0.25">
      <c r="A18" s="3" t="s">
        <v>2</v>
      </c>
    </row>
    <row r="19" spans="1:1" x14ac:dyDescent="0.25">
      <c r="A19" s="4" t="s">
        <v>15</v>
      </c>
    </row>
    <row r="20" spans="1:1" x14ac:dyDescent="0.25">
      <c r="A20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AA3C7"/>
  </sheetPr>
  <dimension ref="A1:B19"/>
  <sheetFormatPr defaultRowHeight="15" outlineLevelRow="0" outlineLevelCol="0" x14ac:dyDescent="55"/>
  <cols>
    <col min="1" max="2" width="30" customWidth="1"/>
  </cols>
  <sheetData>
    <row r="1" spans="1:1" x14ac:dyDescent="0.25">
      <c r="A1" s="5" t="s">
        <v>17</v>
      </c>
    </row>
    <row r="2" spans="1:1" x14ac:dyDescent="0.25">
      <c r="A2" s="6" t="s">
        <v>18</v>
      </c>
    </row>
    <row r="4" ht="30" customHeight="1" spans="1:2" x14ac:dyDescent="0.25">
      <c r="A4" s="7" t="s">
        <v>19</v>
      </c>
      <c r="B4" s="7" t="s">
        <v>20</v>
      </c>
    </row>
    <row r="5" spans="1:2" x14ac:dyDescent="0.25">
      <c r="A5" s="8" t="s">
        <v>21</v>
      </c>
      <c r="B5" s="8" t="s">
        <v>22</v>
      </c>
    </row>
    <row r="6" spans="1:2" x14ac:dyDescent="0.25">
      <c r="A6" s="8" t="s">
        <v>23</v>
      </c>
      <c r="B6" s="8" t="s">
        <v>24</v>
      </c>
    </row>
    <row r="7" spans="1:2" x14ac:dyDescent="0.25">
      <c r="A7" s="8" t="s">
        <v>25</v>
      </c>
      <c r="B7" s="8" t="s">
        <v>26</v>
      </c>
    </row>
    <row r="8" spans="1:2" x14ac:dyDescent="0.25">
      <c r="A8" s="8" t="s">
        <v>27</v>
      </c>
      <c r="B8" s="8" t="s">
        <v>28</v>
      </c>
    </row>
    <row r="9" spans="1:2" x14ac:dyDescent="0.25">
      <c r="A9" s="8" t="s">
        <v>29</v>
      </c>
      <c r="B9" s="8" t="s">
        <v>30</v>
      </c>
    </row>
    <row r="10" spans="1:2" x14ac:dyDescent="0.25">
      <c r="A10" s="8"/>
      <c r="B10" s="8" t="s">
        <v>31</v>
      </c>
    </row>
    <row r="11" spans="1:2" x14ac:dyDescent="0.25">
      <c r="A11" s="8"/>
      <c r="B11" s="8" t="s">
        <v>32</v>
      </c>
    </row>
    <row r="12" spans="1:2" x14ac:dyDescent="0.25">
      <c r="A12" s="8"/>
      <c r="B12" s="8" t="s">
        <v>33</v>
      </c>
    </row>
    <row r="13" spans="1:2" x14ac:dyDescent="0.25">
      <c r="A13" s="8"/>
      <c r="B13" s="8" t="s">
        <v>34</v>
      </c>
    </row>
    <row r="14" spans="1:2" x14ac:dyDescent="0.25">
      <c r="A14" s="8"/>
      <c r="B14" s="8" t="s">
        <v>35</v>
      </c>
    </row>
    <row r="15" spans="1:2" x14ac:dyDescent="0.25">
      <c r="A15" s="8"/>
      <c r="B15" s="8"/>
    </row>
    <row r="16" spans="1:2" x14ac:dyDescent="0.25">
      <c r="A16" s="8"/>
      <c r="B16" s="8"/>
    </row>
    <row r="17" spans="1:2" x14ac:dyDescent="0.25">
      <c r="A17" s="8"/>
      <c r="B17" s="8"/>
    </row>
    <row r="18" spans="1:2" x14ac:dyDescent="0.25">
      <c r="A18" s="8"/>
      <c r="B18" s="8"/>
    </row>
    <row r="19" spans="1:2" x14ac:dyDescent="0.25">
      <c r="A19" s="8"/>
      <c r="B19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E10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4" width="26" customWidth="1"/>
    <col min="5" max="5" width="18" customWidth="1"/>
  </cols>
  <sheetData>
    <row r="1" spans="1:1" x14ac:dyDescent="0.25">
      <c r="A1" s="5" t="s">
        <v>36</v>
      </c>
    </row>
    <row r="2" spans="1:1" x14ac:dyDescent="0.25">
      <c r="A2" s="6" t="s">
        <v>37</v>
      </c>
    </row>
    <row r="4" ht="30" customHeight="1" spans="1:5" x14ac:dyDescent="0.25">
      <c r="A4" s="7" t="s">
        <v>38</v>
      </c>
      <c r="B4" s="7" t="s">
        <v>39</v>
      </c>
      <c r="C4" s="7" t="s">
        <v>40</v>
      </c>
      <c r="D4" s="7" t="s">
        <v>41</v>
      </c>
      <c r="E4" s="7" t="s">
        <v>42</v>
      </c>
    </row>
    <row r="5" spans="1:5" x14ac:dyDescent="0.25">
      <c r="A5" s="9">
        <v>46328</v>
      </c>
      <c r="B5" s="10" t="s">
        <v>43</v>
      </c>
      <c r="C5" s="10" t="s">
        <v>21</v>
      </c>
      <c r="D5" s="10" t="s">
        <v>44</v>
      </c>
      <c r="E5" s="11">
        <v>850000</v>
      </c>
    </row>
    <row r="6" spans="1:5" x14ac:dyDescent="0.25">
      <c r="A6" s="9">
        <v>46331</v>
      </c>
      <c r="B6" s="10" t="s">
        <v>45</v>
      </c>
      <c r="C6" s="10" t="s">
        <v>23</v>
      </c>
      <c r="D6" s="10" t="s">
        <v>46</v>
      </c>
      <c r="E6" s="11">
        <v>1500000</v>
      </c>
    </row>
    <row r="7" spans="1:5" x14ac:dyDescent="0.25">
      <c r="A7" s="9">
        <v>46336</v>
      </c>
      <c r="B7" s="10" t="s">
        <v>47</v>
      </c>
      <c r="C7" s="10" t="s">
        <v>25</v>
      </c>
      <c r="D7" s="10" t="s">
        <v>48</v>
      </c>
      <c r="E7" s="11">
        <v>2000000</v>
      </c>
    </row>
    <row r="8" spans="1:5" x14ac:dyDescent="0.25">
      <c r="A8" s="12"/>
      <c r="B8" s="8"/>
      <c r="C8" s="8"/>
      <c r="D8" s="8"/>
      <c r="E8" s="13"/>
    </row>
    <row r="9" spans="1:5" x14ac:dyDescent="0.25">
      <c r="A9" s="12"/>
      <c r="B9" s="8"/>
      <c r="C9" s="8"/>
      <c r="D9" s="8"/>
      <c r="E9" s="13"/>
    </row>
    <row r="10" spans="1:5" x14ac:dyDescent="0.25">
      <c r="A10" s="12"/>
      <c r="B10" s="8"/>
      <c r="C10" s="8"/>
      <c r="D10" s="8"/>
      <c r="E10" s="13"/>
    </row>
    <row r="11" spans="1:5" x14ac:dyDescent="0.25">
      <c r="A11" s="12"/>
      <c r="B11" s="8"/>
      <c r="C11" s="8"/>
      <c r="D11" s="8"/>
      <c r="E11" s="13"/>
    </row>
    <row r="12" spans="1:5" x14ac:dyDescent="0.25">
      <c r="A12" s="12"/>
      <c r="B12" s="8"/>
      <c r="C12" s="8"/>
      <c r="D12" s="8"/>
      <c r="E12" s="13"/>
    </row>
    <row r="13" spans="1:5" x14ac:dyDescent="0.25">
      <c r="A13" s="12"/>
      <c r="B13" s="8"/>
      <c r="C13" s="8"/>
      <c r="D13" s="8"/>
      <c r="E13" s="13"/>
    </row>
    <row r="14" spans="1:5" x14ac:dyDescent="0.25">
      <c r="A14" s="12"/>
      <c r="B14" s="8"/>
      <c r="C14" s="8"/>
      <c r="D14" s="8"/>
      <c r="E14" s="13"/>
    </row>
    <row r="15" spans="1:5" x14ac:dyDescent="0.25">
      <c r="A15" s="12"/>
      <c r="B15" s="8"/>
      <c r="C15" s="8"/>
      <c r="D15" s="8"/>
      <c r="E15" s="13"/>
    </row>
    <row r="16" spans="1:5" x14ac:dyDescent="0.25">
      <c r="A16" s="12"/>
      <c r="B16" s="8"/>
      <c r="C16" s="8"/>
      <c r="D16" s="8"/>
      <c r="E16" s="13"/>
    </row>
    <row r="17" spans="1:5" x14ac:dyDescent="0.25">
      <c r="A17" s="12"/>
      <c r="B17" s="8"/>
      <c r="C17" s="8"/>
      <c r="D17" s="8"/>
      <c r="E17" s="13"/>
    </row>
    <row r="18" spans="1:5" x14ac:dyDescent="0.25">
      <c r="A18" s="12"/>
      <c r="B18" s="8"/>
      <c r="C18" s="8"/>
      <c r="D18" s="8"/>
      <c r="E18" s="13"/>
    </row>
    <row r="19" spans="1:5" x14ac:dyDescent="0.25">
      <c r="A19" s="12"/>
      <c r="B19" s="8"/>
      <c r="C19" s="8"/>
      <c r="D19" s="8"/>
      <c r="E19" s="13"/>
    </row>
    <row r="20" spans="1:5" x14ac:dyDescent="0.25">
      <c r="A20" s="12"/>
      <c r="B20" s="8"/>
      <c r="C20" s="8"/>
      <c r="D20" s="8"/>
      <c r="E20" s="13"/>
    </row>
    <row r="21" spans="1:5" x14ac:dyDescent="0.25">
      <c r="A21" s="12"/>
      <c r="B21" s="8"/>
      <c r="C21" s="8"/>
      <c r="D21" s="8"/>
      <c r="E21" s="13"/>
    </row>
    <row r="22" spans="1:5" x14ac:dyDescent="0.25">
      <c r="A22" s="12"/>
      <c r="B22" s="8"/>
      <c r="C22" s="8"/>
      <c r="D22" s="8"/>
      <c r="E22" s="13"/>
    </row>
    <row r="23" spans="1:5" x14ac:dyDescent="0.25">
      <c r="A23" s="12"/>
      <c r="B23" s="8"/>
      <c r="C23" s="8"/>
      <c r="D23" s="8"/>
      <c r="E23" s="13"/>
    </row>
    <row r="24" spans="1:5" x14ac:dyDescent="0.25">
      <c r="A24" s="12"/>
      <c r="B24" s="8"/>
      <c r="C24" s="8"/>
      <c r="D24" s="8"/>
      <c r="E24" s="13"/>
    </row>
    <row r="25" spans="1:5" x14ac:dyDescent="0.25">
      <c r="A25" s="12"/>
      <c r="B25" s="8"/>
      <c r="C25" s="8"/>
      <c r="D25" s="8"/>
      <c r="E25" s="13"/>
    </row>
    <row r="26" spans="1:5" x14ac:dyDescent="0.25">
      <c r="A26" s="12"/>
      <c r="B26" s="8"/>
      <c r="C26" s="8"/>
      <c r="D26" s="8"/>
      <c r="E26" s="13"/>
    </row>
    <row r="27" spans="1:5" x14ac:dyDescent="0.25">
      <c r="A27" s="12"/>
      <c r="B27" s="8"/>
      <c r="C27" s="8"/>
      <c r="D27" s="8"/>
      <c r="E27" s="13"/>
    </row>
    <row r="28" spans="1:5" x14ac:dyDescent="0.25">
      <c r="A28" s="12"/>
      <c r="B28" s="8"/>
      <c r="C28" s="8"/>
      <c r="D28" s="8"/>
      <c r="E28" s="13"/>
    </row>
    <row r="29" spans="1:5" x14ac:dyDescent="0.25">
      <c r="A29" s="12"/>
      <c r="B29" s="8"/>
      <c r="C29" s="8"/>
      <c r="D29" s="8"/>
      <c r="E29" s="13"/>
    </row>
    <row r="30" spans="1:5" x14ac:dyDescent="0.25">
      <c r="A30" s="12"/>
      <c r="B30" s="8"/>
      <c r="C30" s="8"/>
      <c r="D30" s="8"/>
      <c r="E30" s="13"/>
    </row>
    <row r="31" spans="1:5" x14ac:dyDescent="0.25">
      <c r="A31" s="12"/>
      <c r="B31" s="8"/>
      <c r="C31" s="8"/>
      <c r="D31" s="8"/>
      <c r="E31" s="13"/>
    </row>
    <row r="32" spans="1:5" x14ac:dyDescent="0.25">
      <c r="A32" s="12"/>
      <c r="B32" s="8"/>
      <c r="C32" s="8"/>
      <c r="D32" s="8"/>
      <c r="E32" s="13"/>
    </row>
    <row r="33" spans="1:5" x14ac:dyDescent="0.25">
      <c r="A33" s="12"/>
      <c r="B33" s="8"/>
      <c r="C33" s="8"/>
      <c r="D33" s="8"/>
      <c r="E33" s="13"/>
    </row>
    <row r="34" spans="1:5" x14ac:dyDescent="0.25">
      <c r="A34" s="12"/>
      <c r="B34" s="8"/>
      <c r="C34" s="8"/>
      <c r="D34" s="8"/>
      <c r="E34" s="13"/>
    </row>
    <row r="35" spans="1:5" x14ac:dyDescent="0.25">
      <c r="A35" s="12"/>
      <c r="B35" s="8"/>
      <c r="C35" s="8"/>
      <c r="D35" s="8"/>
      <c r="E35" s="13"/>
    </row>
    <row r="36" spans="1:5" x14ac:dyDescent="0.25">
      <c r="A36" s="12"/>
      <c r="B36" s="8"/>
      <c r="C36" s="8"/>
      <c r="D36" s="8"/>
      <c r="E36" s="13"/>
    </row>
    <row r="37" spans="1:5" x14ac:dyDescent="0.25">
      <c r="A37" s="12"/>
      <c r="B37" s="8"/>
      <c r="C37" s="8"/>
      <c r="D37" s="8"/>
      <c r="E37" s="13"/>
    </row>
    <row r="38" spans="1:5" x14ac:dyDescent="0.25">
      <c r="A38" s="12"/>
      <c r="B38" s="8"/>
      <c r="C38" s="8"/>
      <c r="D38" s="8"/>
      <c r="E38" s="13"/>
    </row>
    <row r="39" spans="1:5" x14ac:dyDescent="0.25">
      <c r="A39" s="12"/>
      <c r="B39" s="8"/>
      <c r="C39" s="8"/>
      <c r="D39" s="8"/>
      <c r="E39" s="13"/>
    </row>
    <row r="40" spans="1:5" x14ac:dyDescent="0.25">
      <c r="A40" s="12"/>
      <c r="B40" s="8"/>
      <c r="C40" s="8"/>
      <c r="D40" s="8"/>
      <c r="E40" s="13"/>
    </row>
    <row r="41" spans="1:5" x14ac:dyDescent="0.25">
      <c r="A41" s="12"/>
      <c r="B41" s="8"/>
      <c r="C41" s="8"/>
      <c r="D41" s="8"/>
      <c r="E41" s="13"/>
    </row>
    <row r="42" spans="1:5" x14ac:dyDescent="0.25">
      <c r="A42" s="12"/>
      <c r="B42" s="8"/>
      <c r="C42" s="8"/>
      <c r="D42" s="8"/>
      <c r="E42" s="13"/>
    </row>
    <row r="43" spans="1:5" x14ac:dyDescent="0.25">
      <c r="A43" s="12"/>
      <c r="B43" s="8"/>
      <c r="C43" s="8"/>
      <c r="D43" s="8"/>
      <c r="E43" s="13"/>
    </row>
    <row r="44" spans="1:5" x14ac:dyDescent="0.25">
      <c r="A44" s="12"/>
      <c r="B44" s="8"/>
      <c r="C44" s="8"/>
      <c r="D44" s="8"/>
      <c r="E44" s="13"/>
    </row>
    <row r="45" spans="1:5" x14ac:dyDescent="0.25">
      <c r="A45" s="12"/>
      <c r="B45" s="8"/>
      <c r="C45" s="8"/>
      <c r="D45" s="8"/>
      <c r="E45" s="13"/>
    </row>
    <row r="46" spans="1:5" x14ac:dyDescent="0.25">
      <c r="A46" s="12"/>
      <c r="B46" s="8"/>
      <c r="C46" s="8"/>
      <c r="D46" s="8"/>
      <c r="E46" s="13"/>
    </row>
    <row r="47" spans="1:5" x14ac:dyDescent="0.25">
      <c r="A47" s="12"/>
      <c r="B47" s="8"/>
      <c r="C47" s="8"/>
      <c r="D47" s="8"/>
      <c r="E47" s="13"/>
    </row>
    <row r="48" spans="1:5" x14ac:dyDescent="0.25">
      <c r="A48" s="12"/>
      <c r="B48" s="8"/>
      <c r="C48" s="8"/>
      <c r="D48" s="8"/>
      <c r="E48" s="13"/>
    </row>
    <row r="49" spans="1:5" x14ac:dyDescent="0.25">
      <c r="A49" s="12"/>
      <c r="B49" s="8"/>
      <c r="C49" s="8"/>
      <c r="D49" s="8"/>
      <c r="E49" s="13"/>
    </row>
    <row r="50" spans="1:5" x14ac:dyDescent="0.25">
      <c r="A50" s="12"/>
      <c r="B50" s="8"/>
      <c r="C50" s="8"/>
      <c r="D50" s="8"/>
      <c r="E50" s="13"/>
    </row>
    <row r="51" spans="1:5" x14ac:dyDescent="0.25">
      <c r="A51" s="12"/>
      <c r="B51" s="8"/>
      <c r="C51" s="8"/>
      <c r="D51" s="8"/>
      <c r="E51" s="13"/>
    </row>
    <row r="52" spans="1:5" x14ac:dyDescent="0.25">
      <c r="A52" s="12"/>
      <c r="B52" s="8"/>
      <c r="C52" s="8"/>
      <c r="D52" s="8"/>
      <c r="E52" s="13"/>
    </row>
    <row r="53" spans="1:5" x14ac:dyDescent="0.25">
      <c r="A53" s="12"/>
      <c r="B53" s="8"/>
      <c r="C53" s="8"/>
      <c r="D53" s="8"/>
      <c r="E53" s="13"/>
    </row>
    <row r="54" spans="1:5" x14ac:dyDescent="0.25">
      <c r="A54" s="12"/>
      <c r="B54" s="8"/>
      <c r="C54" s="8"/>
      <c r="D54" s="8"/>
      <c r="E54" s="13"/>
    </row>
    <row r="55" spans="1:5" x14ac:dyDescent="0.25">
      <c r="A55" s="12"/>
      <c r="B55" s="8"/>
      <c r="C55" s="8"/>
      <c r="D55" s="8"/>
      <c r="E55" s="13"/>
    </row>
    <row r="56" spans="1:5" x14ac:dyDescent="0.25">
      <c r="A56" s="12"/>
      <c r="B56" s="8"/>
      <c r="C56" s="8"/>
      <c r="D56" s="8"/>
      <c r="E56" s="13"/>
    </row>
    <row r="57" spans="1:5" x14ac:dyDescent="0.25">
      <c r="A57" s="12"/>
      <c r="B57" s="8"/>
      <c r="C57" s="8"/>
      <c r="D57" s="8"/>
      <c r="E57" s="13"/>
    </row>
    <row r="58" spans="1:5" x14ac:dyDescent="0.25">
      <c r="A58" s="12"/>
      <c r="B58" s="8"/>
      <c r="C58" s="8"/>
      <c r="D58" s="8"/>
      <c r="E58" s="13"/>
    </row>
    <row r="59" spans="1:5" x14ac:dyDescent="0.25">
      <c r="A59" s="12"/>
      <c r="B59" s="8"/>
      <c r="C59" s="8"/>
      <c r="D59" s="8"/>
      <c r="E59" s="13"/>
    </row>
    <row r="60" spans="1:5" x14ac:dyDescent="0.25">
      <c r="A60" s="12"/>
      <c r="B60" s="8"/>
      <c r="C60" s="8"/>
      <c r="D60" s="8"/>
      <c r="E60" s="13"/>
    </row>
    <row r="61" spans="1:5" x14ac:dyDescent="0.25">
      <c r="A61" s="12"/>
      <c r="B61" s="8"/>
      <c r="C61" s="8"/>
      <c r="D61" s="8"/>
      <c r="E61" s="13"/>
    </row>
    <row r="62" spans="1:5" x14ac:dyDescent="0.25">
      <c r="A62" s="12"/>
      <c r="B62" s="8"/>
      <c r="C62" s="8"/>
      <c r="D62" s="8"/>
      <c r="E62" s="13"/>
    </row>
    <row r="63" spans="1:5" x14ac:dyDescent="0.25">
      <c r="A63" s="12"/>
      <c r="B63" s="8"/>
      <c r="C63" s="8"/>
      <c r="D63" s="8"/>
      <c r="E63" s="13"/>
    </row>
    <row r="64" spans="1:5" x14ac:dyDescent="0.25">
      <c r="A64" s="12"/>
      <c r="B64" s="8"/>
      <c r="C64" s="8"/>
      <c r="D64" s="8"/>
      <c r="E64" s="13"/>
    </row>
    <row r="65" spans="1:5" x14ac:dyDescent="0.25">
      <c r="A65" s="12"/>
      <c r="B65" s="8"/>
      <c r="C65" s="8"/>
      <c r="D65" s="8"/>
      <c r="E65" s="13"/>
    </row>
    <row r="66" spans="1:5" x14ac:dyDescent="0.25">
      <c r="A66" s="12"/>
      <c r="B66" s="8"/>
      <c r="C66" s="8"/>
      <c r="D66" s="8"/>
      <c r="E66" s="13"/>
    </row>
    <row r="67" spans="1:5" x14ac:dyDescent="0.25">
      <c r="A67" s="12"/>
      <c r="B67" s="8"/>
      <c r="C67" s="8"/>
      <c r="D67" s="8"/>
      <c r="E67" s="13"/>
    </row>
    <row r="68" spans="1:5" x14ac:dyDescent="0.25">
      <c r="A68" s="12"/>
      <c r="B68" s="8"/>
      <c r="C68" s="8"/>
      <c r="D68" s="8"/>
      <c r="E68" s="13"/>
    </row>
    <row r="69" spans="1:5" x14ac:dyDescent="0.25">
      <c r="A69" s="12"/>
      <c r="B69" s="8"/>
      <c r="C69" s="8"/>
      <c r="D69" s="8"/>
      <c r="E69" s="13"/>
    </row>
    <row r="70" spans="1:5" x14ac:dyDescent="0.25">
      <c r="A70" s="12"/>
      <c r="B70" s="8"/>
      <c r="C70" s="8"/>
      <c r="D70" s="8"/>
      <c r="E70" s="13"/>
    </row>
    <row r="71" spans="1:5" x14ac:dyDescent="0.25">
      <c r="A71" s="12"/>
      <c r="B71" s="8"/>
      <c r="C71" s="8"/>
      <c r="D71" s="8"/>
      <c r="E71" s="13"/>
    </row>
    <row r="72" spans="1:5" x14ac:dyDescent="0.25">
      <c r="A72" s="12"/>
      <c r="B72" s="8"/>
      <c r="C72" s="8"/>
      <c r="D72" s="8"/>
      <c r="E72" s="13"/>
    </row>
    <row r="73" spans="1:5" x14ac:dyDescent="0.25">
      <c r="A73" s="12"/>
      <c r="B73" s="8"/>
      <c r="C73" s="8"/>
      <c r="D73" s="8"/>
      <c r="E73" s="13"/>
    </row>
    <row r="74" spans="1:5" x14ac:dyDescent="0.25">
      <c r="A74" s="12"/>
      <c r="B74" s="8"/>
      <c r="C74" s="8"/>
      <c r="D74" s="8"/>
      <c r="E74" s="13"/>
    </row>
    <row r="75" spans="1:5" x14ac:dyDescent="0.25">
      <c r="A75" s="12"/>
      <c r="B75" s="8"/>
      <c r="C75" s="8"/>
      <c r="D75" s="8"/>
      <c r="E75" s="13"/>
    </row>
    <row r="76" spans="1:5" x14ac:dyDescent="0.25">
      <c r="A76" s="12"/>
      <c r="B76" s="8"/>
      <c r="C76" s="8"/>
      <c r="D76" s="8"/>
      <c r="E76" s="13"/>
    </row>
    <row r="77" spans="1:5" x14ac:dyDescent="0.25">
      <c r="A77" s="12"/>
      <c r="B77" s="8"/>
      <c r="C77" s="8"/>
      <c r="D77" s="8"/>
      <c r="E77" s="13"/>
    </row>
    <row r="78" spans="1:5" x14ac:dyDescent="0.25">
      <c r="A78" s="12"/>
      <c r="B78" s="8"/>
      <c r="C78" s="8"/>
      <c r="D78" s="8"/>
      <c r="E78" s="13"/>
    </row>
    <row r="79" spans="1:5" x14ac:dyDescent="0.25">
      <c r="A79" s="12"/>
      <c r="B79" s="8"/>
      <c r="C79" s="8"/>
      <c r="D79" s="8"/>
      <c r="E79" s="13"/>
    </row>
    <row r="80" spans="1:5" x14ac:dyDescent="0.25">
      <c r="A80" s="12"/>
      <c r="B80" s="8"/>
      <c r="C80" s="8"/>
      <c r="D80" s="8"/>
      <c r="E80" s="13"/>
    </row>
    <row r="81" spans="1:5" x14ac:dyDescent="0.25">
      <c r="A81" s="12"/>
      <c r="B81" s="8"/>
      <c r="C81" s="8"/>
      <c r="D81" s="8"/>
      <c r="E81" s="13"/>
    </row>
    <row r="82" spans="1:5" x14ac:dyDescent="0.25">
      <c r="A82" s="12"/>
      <c r="B82" s="8"/>
      <c r="C82" s="8"/>
      <c r="D82" s="8"/>
      <c r="E82" s="13"/>
    </row>
    <row r="83" spans="1:5" x14ac:dyDescent="0.25">
      <c r="A83" s="12"/>
      <c r="B83" s="8"/>
      <c r="C83" s="8"/>
      <c r="D83" s="8"/>
      <c r="E83" s="13"/>
    </row>
    <row r="84" spans="1:5" x14ac:dyDescent="0.25">
      <c r="A84" s="12"/>
      <c r="B84" s="8"/>
      <c r="C84" s="8"/>
      <c r="D84" s="8"/>
      <c r="E84" s="13"/>
    </row>
    <row r="85" spans="1:5" x14ac:dyDescent="0.25">
      <c r="A85" s="12"/>
      <c r="B85" s="8"/>
      <c r="C85" s="8"/>
      <c r="D85" s="8"/>
      <c r="E85" s="13"/>
    </row>
    <row r="86" spans="1:5" x14ac:dyDescent="0.25">
      <c r="A86" s="12"/>
      <c r="B86" s="8"/>
      <c r="C86" s="8"/>
      <c r="D86" s="8"/>
      <c r="E86" s="13"/>
    </row>
    <row r="87" spans="1:5" x14ac:dyDescent="0.25">
      <c r="A87" s="12"/>
      <c r="B87" s="8"/>
      <c r="C87" s="8"/>
      <c r="D87" s="8"/>
      <c r="E87" s="13"/>
    </row>
    <row r="88" spans="1:5" x14ac:dyDescent="0.25">
      <c r="A88" s="12"/>
      <c r="B88" s="8"/>
      <c r="C88" s="8"/>
      <c r="D88" s="8"/>
      <c r="E88" s="13"/>
    </row>
    <row r="89" spans="1:5" x14ac:dyDescent="0.25">
      <c r="A89" s="12"/>
      <c r="B89" s="8"/>
      <c r="C89" s="8"/>
      <c r="D89" s="8"/>
      <c r="E89" s="13"/>
    </row>
    <row r="90" spans="1:5" x14ac:dyDescent="0.25">
      <c r="A90" s="12"/>
      <c r="B90" s="8"/>
      <c r="C90" s="8"/>
      <c r="D90" s="8"/>
      <c r="E90" s="13"/>
    </row>
    <row r="91" spans="1:5" x14ac:dyDescent="0.25">
      <c r="A91" s="12"/>
      <c r="B91" s="8"/>
      <c r="C91" s="8"/>
      <c r="D91" s="8"/>
      <c r="E91" s="13"/>
    </row>
    <row r="92" spans="1:5" x14ac:dyDescent="0.25">
      <c r="A92" s="12"/>
      <c r="B92" s="8"/>
      <c r="C92" s="8"/>
      <c r="D92" s="8"/>
      <c r="E92" s="13"/>
    </row>
    <row r="93" spans="1:5" x14ac:dyDescent="0.25">
      <c r="A93" s="12"/>
      <c r="B93" s="8"/>
      <c r="C93" s="8"/>
      <c r="D93" s="8"/>
      <c r="E93" s="13"/>
    </row>
    <row r="94" spans="1:5" x14ac:dyDescent="0.25">
      <c r="A94" s="12"/>
      <c r="B94" s="8"/>
      <c r="C94" s="8"/>
      <c r="D94" s="8"/>
      <c r="E94" s="13"/>
    </row>
    <row r="95" spans="1:5" x14ac:dyDescent="0.25">
      <c r="A95" s="12"/>
      <c r="B95" s="8"/>
      <c r="C95" s="8"/>
      <c r="D95" s="8"/>
      <c r="E95" s="13"/>
    </row>
    <row r="96" spans="1:5" x14ac:dyDescent="0.25">
      <c r="A96" s="12"/>
      <c r="B96" s="8"/>
      <c r="C96" s="8"/>
      <c r="D96" s="8"/>
      <c r="E96" s="13"/>
    </row>
    <row r="97" spans="1:5" x14ac:dyDescent="0.25">
      <c r="A97" s="12"/>
      <c r="B97" s="8"/>
      <c r="C97" s="8"/>
      <c r="D97" s="8"/>
      <c r="E97" s="13"/>
    </row>
    <row r="98" spans="1:5" x14ac:dyDescent="0.25">
      <c r="A98" s="12"/>
      <c r="B98" s="8"/>
      <c r="C98" s="8"/>
      <c r="D98" s="8"/>
      <c r="E98" s="13"/>
    </row>
    <row r="99" spans="1:5" x14ac:dyDescent="0.25">
      <c r="A99" s="12"/>
      <c r="B99" s="8"/>
      <c r="C99" s="8"/>
      <c r="D99" s="8"/>
      <c r="E99" s="13"/>
    </row>
    <row r="100" spans="1:5" x14ac:dyDescent="0.25">
      <c r="A100" s="12"/>
      <c r="B100" s="8"/>
      <c r="C100" s="8"/>
      <c r="D100" s="8"/>
      <c r="E100" s="13"/>
    </row>
    <row r="101" spans="1:5" x14ac:dyDescent="0.25">
      <c r="A101" s="12"/>
      <c r="B101" s="8"/>
      <c r="C101" s="8"/>
      <c r="D101" s="8"/>
      <c r="E101" s="13"/>
    </row>
    <row r="102" spans="1:5" x14ac:dyDescent="0.25">
      <c r="A102" s="12"/>
      <c r="B102" s="8"/>
      <c r="C102" s="8"/>
      <c r="D102" s="8"/>
      <c r="E102" s="13"/>
    </row>
    <row r="103" spans="1:5" x14ac:dyDescent="0.25">
      <c r="A103" s="12"/>
      <c r="B103" s="8"/>
      <c r="C103" s="8"/>
      <c r="D103" s="8"/>
      <c r="E103" s="13"/>
    </row>
    <row r="104" spans="1:5" x14ac:dyDescent="0.25">
      <c r="A104" s="12"/>
      <c r="B104" s="8"/>
      <c r="C104" s="8"/>
      <c r="D104" s="8"/>
      <c r="E104" s="13"/>
    </row>
    <row r="105" spans="1:5" x14ac:dyDescent="0.25">
      <c r="A105" s="12"/>
      <c r="B105" s="8"/>
      <c r="C105" s="8"/>
      <c r="D105" s="8"/>
      <c r="E105" s="13"/>
    </row>
    <row r="106" spans="1:5" x14ac:dyDescent="0.25">
      <c r="A106" s="12"/>
      <c r="B106" s="8"/>
      <c r="C106" s="8"/>
      <c r="D106" s="8"/>
      <c r="E106" s="13"/>
    </row>
    <row r="107" spans="1:5" x14ac:dyDescent="0.25">
      <c r="A107" s="12"/>
      <c r="B107" s="8"/>
      <c r="C107" s="8"/>
      <c r="D107" s="8"/>
      <c r="E107" s="13"/>
    </row>
    <row r="108" spans="1:5" x14ac:dyDescent="0.25">
      <c r="A108" s="12"/>
      <c r="B108" s="8"/>
      <c r="C108" s="8"/>
      <c r="D108" s="8"/>
      <c r="E108" s="13"/>
    </row>
    <row r="109" spans="1:5" x14ac:dyDescent="0.25">
      <c r="A109" s="12"/>
      <c r="B109" s="8"/>
      <c r="C109" s="8"/>
      <c r="D109" s="8"/>
      <c r="E109" s="13"/>
    </row>
    <row r="110" spans="1:5" x14ac:dyDescent="0.25">
      <c r="A110" s="12"/>
      <c r="B110" s="8"/>
      <c r="C110" s="8"/>
      <c r="D110" s="8"/>
      <c r="E110" s="13"/>
    </row>
    <row r="111" spans="1:5" x14ac:dyDescent="0.25">
      <c r="A111" s="12"/>
      <c r="B111" s="8"/>
      <c r="C111" s="8"/>
      <c r="D111" s="8"/>
      <c r="E111" s="13"/>
    </row>
    <row r="112" spans="1:5" x14ac:dyDescent="0.25">
      <c r="A112" s="12"/>
      <c r="B112" s="8"/>
      <c r="C112" s="8"/>
      <c r="D112" s="8"/>
      <c r="E112" s="13"/>
    </row>
    <row r="113" spans="1:5" x14ac:dyDescent="0.25">
      <c r="A113" s="12"/>
      <c r="B113" s="8"/>
      <c r="C113" s="8"/>
      <c r="D113" s="8"/>
      <c r="E113" s="13"/>
    </row>
    <row r="114" spans="1:5" x14ac:dyDescent="0.25">
      <c r="A114" s="12"/>
      <c r="B114" s="8"/>
      <c r="C114" s="8"/>
      <c r="D114" s="8"/>
      <c r="E114" s="13"/>
    </row>
    <row r="115" spans="1:5" x14ac:dyDescent="0.25">
      <c r="A115" s="12"/>
      <c r="B115" s="8"/>
      <c r="C115" s="8"/>
      <c r="D115" s="8"/>
      <c r="E115" s="13"/>
    </row>
    <row r="116" spans="1:5" x14ac:dyDescent="0.25">
      <c r="A116" s="12"/>
      <c r="B116" s="8"/>
      <c r="C116" s="8"/>
      <c r="D116" s="8"/>
      <c r="E116" s="13"/>
    </row>
    <row r="117" spans="1:5" x14ac:dyDescent="0.25">
      <c r="A117" s="12"/>
      <c r="B117" s="8"/>
      <c r="C117" s="8"/>
      <c r="D117" s="8"/>
      <c r="E117" s="13"/>
    </row>
    <row r="118" spans="1:5" x14ac:dyDescent="0.25">
      <c r="A118" s="12"/>
      <c r="B118" s="8"/>
      <c r="C118" s="8"/>
      <c r="D118" s="8"/>
      <c r="E118" s="13"/>
    </row>
    <row r="119" spans="1:5" x14ac:dyDescent="0.25">
      <c r="A119" s="12"/>
      <c r="B119" s="8"/>
      <c r="C119" s="8"/>
      <c r="D119" s="8"/>
      <c r="E119" s="13"/>
    </row>
    <row r="120" spans="1:5" x14ac:dyDescent="0.25">
      <c r="A120" s="12"/>
      <c r="B120" s="8"/>
      <c r="C120" s="8"/>
      <c r="D120" s="8"/>
      <c r="E120" s="13"/>
    </row>
    <row r="121" spans="1:5" x14ac:dyDescent="0.25">
      <c r="A121" s="12"/>
      <c r="B121" s="8"/>
      <c r="C121" s="8"/>
      <c r="D121" s="8"/>
      <c r="E121" s="13"/>
    </row>
    <row r="122" spans="1:5" x14ac:dyDescent="0.25">
      <c r="A122" s="12"/>
      <c r="B122" s="8"/>
      <c r="C122" s="8"/>
      <c r="D122" s="8"/>
      <c r="E122" s="13"/>
    </row>
    <row r="123" spans="1:5" x14ac:dyDescent="0.25">
      <c r="A123" s="12"/>
      <c r="B123" s="8"/>
      <c r="C123" s="8"/>
      <c r="D123" s="8"/>
      <c r="E123" s="13"/>
    </row>
    <row r="124" spans="1:5" x14ac:dyDescent="0.25">
      <c r="A124" s="12"/>
      <c r="B124" s="8"/>
      <c r="C124" s="8"/>
      <c r="D124" s="8"/>
      <c r="E124" s="13"/>
    </row>
    <row r="125" spans="1:5" x14ac:dyDescent="0.25">
      <c r="A125" s="12"/>
      <c r="B125" s="8"/>
      <c r="C125" s="8"/>
      <c r="D125" s="8"/>
      <c r="E125" s="13"/>
    </row>
    <row r="126" spans="1:5" x14ac:dyDescent="0.25">
      <c r="A126" s="12"/>
      <c r="B126" s="8"/>
      <c r="C126" s="8"/>
      <c r="D126" s="8"/>
      <c r="E126" s="13"/>
    </row>
    <row r="127" spans="1:5" x14ac:dyDescent="0.25">
      <c r="A127" s="12"/>
      <c r="B127" s="8"/>
      <c r="C127" s="8"/>
      <c r="D127" s="8"/>
      <c r="E127" s="13"/>
    </row>
    <row r="128" spans="1:5" x14ac:dyDescent="0.25">
      <c r="A128" s="12"/>
      <c r="B128" s="8"/>
      <c r="C128" s="8"/>
      <c r="D128" s="8"/>
      <c r="E128" s="13"/>
    </row>
    <row r="129" spans="1:5" x14ac:dyDescent="0.25">
      <c r="A129" s="12"/>
      <c r="B129" s="8"/>
      <c r="C129" s="8"/>
      <c r="D129" s="8"/>
      <c r="E129" s="13"/>
    </row>
    <row r="130" spans="1:5" x14ac:dyDescent="0.25">
      <c r="A130" s="12"/>
      <c r="B130" s="8"/>
      <c r="C130" s="8"/>
      <c r="D130" s="8"/>
      <c r="E130" s="13"/>
    </row>
    <row r="131" spans="1:5" x14ac:dyDescent="0.25">
      <c r="A131" s="12"/>
      <c r="B131" s="8"/>
      <c r="C131" s="8"/>
      <c r="D131" s="8"/>
      <c r="E131" s="13"/>
    </row>
    <row r="132" spans="1:5" x14ac:dyDescent="0.25">
      <c r="A132" s="12"/>
      <c r="B132" s="8"/>
      <c r="C132" s="8"/>
      <c r="D132" s="8"/>
      <c r="E132" s="13"/>
    </row>
    <row r="133" spans="1:5" x14ac:dyDescent="0.25">
      <c r="A133" s="12"/>
      <c r="B133" s="8"/>
      <c r="C133" s="8"/>
      <c r="D133" s="8"/>
      <c r="E133" s="13"/>
    </row>
    <row r="134" spans="1:5" x14ac:dyDescent="0.25">
      <c r="A134" s="12"/>
      <c r="B134" s="8"/>
      <c r="C134" s="8"/>
      <c r="D134" s="8"/>
      <c r="E134" s="13"/>
    </row>
    <row r="135" spans="1:5" x14ac:dyDescent="0.25">
      <c r="A135" s="12"/>
      <c r="B135" s="8"/>
      <c r="C135" s="8"/>
      <c r="D135" s="8"/>
      <c r="E135" s="13"/>
    </row>
    <row r="136" spans="1:5" x14ac:dyDescent="0.25">
      <c r="A136" s="12"/>
      <c r="B136" s="8"/>
      <c r="C136" s="8"/>
      <c r="D136" s="8"/>
      <c r="E136" s="13"/>
    </row>
    <row r="137" spans="1:5" x14ac:dyDescent="0.25">
      <c r="A137" s="12"/>
      <c r="B137" s="8"/>
      <c r="C137" s="8"/>
      <c r="D137" s="8"/>
      <c r="E137" s="13"/>
    </row>
    <row r="138" spans="1:5" x14ac:dyDescent="0.25">
      <c r="A138" s="12"/>
      <c r="B138" s="8"/>
      <c r="C138" s="8"/>
      <c r="D138" s="8"/>
      <c r="E138" s="13"/>
    </row>
    <row r="139" spans="1:5" x14ac:dyDescent="0.25">
      <c r="A139" s="12"/>
      <c r="B139" s="8"/>
      <c r="C139" s="8"/>
      <c r="D139" s="8"/>
      <c r="E139" s="13"/>
    </row>
    <row r="140" spans="1:5" x14ac:dyDescent="0.25">
      <c r="A140" s="12"/>
      <c r="B140" s="8"/>
      <c r="C140" s="8"/>
      <c r="D140" s="8"/>
      <c r="E140" s="13"/>
    </row>
    <row r="141" spans="1:5" x14ac:dyDescent="0.25">
      <c r="A141" s="12"/>
      <c r="B141" s="8"/>
      <c r="C141" s="8"/>
      <c r="D141" s="8"/>
      <c r="E141" s="13"/>
    </row>
    <row r="142" spans="1:5" x14ac:dyDescent="0.25">
      <c r="A142" s="12"/>
      <c r="B142" s="8"/>
      <c r="C142" s="8"/>
      <c r="D142" s="8"/>
      <c r="E142" s="13"/>
    </row>
    <row r="143" spans="1:5" x14ac:dyDescent="0.25">
      <c r="A143" s="12"/>
      <c r="B143" s="8"/>
      <c r="C143" s="8"/>
      <c r="D143" s="8"/>
      <c r="E143" s="13"/>
    </row>
    <row r="144" spans="1:5" x14ac:dyDescent="0.25">
      <c r="A144" s="12"/>
      <c r="B144" s="8"/>
      <c r="C144" s="8"/>
      <c r="D144" s="8"/>
      <c r="E144" s="13"/>
    </row>
    <row r="145" spans="1:5" x14ac:dyDescent="0.25">
      <c r="A145" s="12"/>
      <c r="B145" s="8"/>
      <c r="C145" s="8"/>
      <c r="D145" s="8"/>
      <c r="E145" s="13"/>
    </row>
    <row r="146" spans="1:5" x14ac:dyDescent="0.25">
      <c r="A146" s="12"/>
      <c r="B146" s="8"/>
      <c r="C146" s="8"/>
      <c r="D146" s="8"/>
      <c r="E146" s="13"/>
    </row>
    <row r="147" spans="1:5" x14ac:dyDescent="0.25">
      <c r="A147" s="12"/>
      <c r="B147" s="8"/>
      <c r="C147" s="8"/>
      <c r="D147" s="8"/>
      <c r="E147" s="13"/>
    </row>
    <row r="148" spans="1:5" x14ac:dyDescent="0.25">
      <c r="A148" s="12"/>
      <c r="B148" s="8"/>
      <c r="C148" s="8"/>
      <c r="D148" s="8"/>
      <c r="E148" s="13"/>
    </row>
    <row r="149" spans="1:5" x14ac:dyDescent="0.25">
      <c r="A149" s="12"/>
      <c r="B149" s="8"/>
      <c r="C149" s="8"/>
      <c r="D149" s="8"/>
      <c r="E149" s="13"/>
    </row>
    <row r="150" spans="1:5" x14ac:dyDescent="0.25">
      <c r="A150" s="12"/>
      <c r="B150" s="8"/>
      <c r="C150" s="8"/>
      <c r="D150" s="8"/>
      <c r="E150" s="13"/>
    </row>
    <row r="151" spans="1:5" x14ac:dyDescent="0.25">
      <c r="A151" s="12"/>
      <c r="B151" s="8"/>
      <c r="C151" s="8"/>
      <c r="D151" s="8"/>
      <c r="E151" s="13"/>
    </row>
    <row r="152" spans="1:5" x14ac:dyDescent="0.25">
      <c r="A152" s="12"/>
      <c r="B152" s="8"/>
      <c r="C152" s="8"/>
      <c r="D152" s="8"/>
      <c r="E152" s="13"/>
    </row>
    <row r="153" spans="1:5" x14ac:dyDescent="0.25">
      <c r="A153" s="12"/>
      <c r="B153" s="8"/>
      <c r="C153" s="8"/>
      <c r="D153" s="8"/>
      <c r="E153" s="13"/>
    </row>
    <row r="154" spans="1:5" x14ac:dyDescent="0.25">
      <c r="A154" s="12"/>
      <c r="B154" s="8"/>
      <c r="C154" s="8"/>
      <c r="D154" s="8"/>
      <c r="E154" s="13"/>
    </row>
    <row r="155" spans="1:5" x14ac:dyDescent="0.25">
      <c r="A155" s="12"/>
      <c r="B155" s="8"/>
      <c r="C155" s="8"/>
      <c r="D155" s="8"/>
      <c r="E155" s="13"/>
    </row>
    <row r="156" spans="1:5" x14ac:dyDescent="0.25">
      <c r="A156" s="12"/>
      <c r="B156" s="8"/>
      <c r="C156" s="8"/>
      <c r="D156" s="8"/>
      <c r="E156" s="13"/>
    </row>
    <row r="157" spans="1:5" x14ac:dyDescent="0.25">
      <c r="A157" s="12"/>
      <c r="B157" s="8"/>
      <c r="C157" s="8"/>
      <c r="D157" s="8"/>
      <c r="E157" s="13"/>
    </row>
    <row r="158" spans="1:5" x14ac:dyDescent="0.25">
      <c r="A158" s="12"/>
      <c r="B158" s="8"/>
      <c r="C158" s="8"/>
      <c r="D158" s="8"/>
      <c r="E158" s="13"/>
    </row>
    <row r="159" spans="1:5" x14ac:dyDescent="0.25">
      <c r="A159" s="12"/>
      <c r="B159" s="8"/>
      <c r="C159" s="8"/>
      <c r="D159" s="8"/>
      <c r="E159" s="13"/>
    </row>
    <row r="160" spans="1:5" x14ac:dyDescent="0.25">
      <c r="A160" s="12"/>
      <c r="B160" s="8"/>
      <c r="C160" s="8"/>
      <c r="D160" s="8"/>
      <c r="E160" s="13"/>
    </row>
    <row r="161" spans="1:5" x14ac:dyDescent="0.25">
      <c r="A161" s="12"/>
      <c r="B161" s="8"/>
      <c r="C161" s="8"/>
      <c r="D161" s="8"/>
      <c r="E161" s="13"/>
    </row>
    <row r="162" spans="1:5" x14ac:dyDescent="0.25">
      <c r="A162" s="12"/>
      <c r="B162" s="8"/>
      <c r="C162" s="8"/>
      <c r="D162" s="8"/>
      <c r="E162" s="13"/>
    </row>
    <row r="163" spans="1:5" x14ac:dyDescent="0.25">
      <c r="A163" s="12"/>
      <c r="B163" s="8"/>
      <c r="C163" s="8"/>
      <c r="D163" s="8"/>
      <c r="E163" s="13"/>
    </row>
    <row r="164" spans="1:5" x14ac:dyDescent="0.25">
      <c r="A164" s="12"/>
      <c r="B164" s="8"/>
      <c r="C164" s="8"/>
      <c r="D164" s="8"/>
      <c r="E164" s="13"/>
    </row>
    <row r="165" spans="1:5" x14ac:dyDescent="0.25">
      <c r="A165" s="12"/>
      <c r="B165" s="8"/>
      <c r="C165" s="8"/>
      <c r="D165" s="8"/>
      <c r="E165" s="13"/>
    </row>
    <row r="166" spans="1:5" x14ac:dyDescent="0.25">
      <c r="A166" s="12"/>
      <c r="B166" s="8"/>
      <c r="C166" s="8"/>
      <c r="D166" s="8"/>
      <c r="E166" s="13"/>
    </row>
    <row r="167" spans="1:5" x14ac:dyDescent="0.25">
      <c r="A167" s="12"/>
      <c r="B167" s="8"/>
      <c r="C167" s="8"/>
      <c r="D167" s="8"/>
      <c r="E167" s="13"/>
    </row>
    <row r="168" spans="1:5" x14ac:dyDescent="0.25">
      <c r="A168" s="12"/>
      <c r="B168" s="8"/>
      <c r="C168" s="8"/>
      <c r="D168" s="8"/>
      <c r="E168" s="13"/>
    </row>
    <row r="169" spans="1:5" x14ac:dyDescent="0.25">
      <c r="A169" s="12"/>
      <c r="B169" s="8"/>
      <c r="C169" s="8"/>
      <c r="D169" s="8"/>
      <c r="E169" s="13"/>
    </row>
    <row r="170" spans="1:5" x14ac:dyDescent="0.25">
      <c r="A170" s="12"/>
      <c r="B170" s="8"/>
      <c r="C170" s="8"/>
      <c r="D170" s="8"/>
      <c r="E170" s="13"/>
    </row>
    <row r="171" spans="1:5" x14ac:dyDescent="0.25">
      <c r="A171" s="12"/>
      <c r="B171" s="8"/>
      <c r="C171" s="8"/>
      <c r="D171" s="8"/>
      <c r="E171" s="13"/>
    </row>
    <row r="172" spans="1:5" x14ac:dyDescent="0.25">
      <c r="A172" s="12"/>
      <c r="B172" s="8"/>
      <c r="C172" s="8"/>
      <c r="D172" s="8"/>
      <c r="E172" s="13"/>
    </row>
    <row r="173" spans="1:5" x14ac:dyDescent="0.25">
      <c r="A173" s="12"/>
      <c r="B173" s="8"/>
      <c r="C173" s="8"/>
      <c r="D173" s="8"/>
      <c r="E173" s="13"/>
    </row>
    <row r="174" spans="1:5" x14ac:dyDescent="0.25">
      <c r="A174" s="12"/>
      <c r="B174" s="8"/>
      <c r="C174" s="8"/>
      <c r="D174" s="8"/>
      <c r="E174" s="13"/>
    </row>
    <row r="175" spans="1:5" x14ac:dyDescent="0.25">
      <c r="A175" s="12"/>
      <c r="B175" s="8"/>
      <c r="C175" s="8"/>
      <c r="D175" s="8"/>
      <c r="E175" s="13"/>
    </row>
    <row r="176" spans="1:5" x14ac:dyDescent="0.25">
      <c r="A176" s="12"/>
      <c r="B176" s="8"/>
      <c r="C176" s="8"/>
      <c r="D176" s="8"/>
      <c r="E176" s="13"/>
    </row>
    <row r="177" spans="1:5" x14ac:dyDescent="0.25">
      <c r="A177" s="12"/>
      <c r="B177" s="8"/>
      <c r="C177" s="8"/>
      <c r="D177" s="8"/>
      <c r="E177" s="13"/>
    </row>
    <row r="178" spans="1:5" x14ac:dyDescent="0.25">
      <c r="A178" s="12"/>
      <c r="B178" s="8"/>
      <c r="C178" s="8"/>
      <c r="D178" s="8"/>
      <c r="E178" s="13"/>
    </row>
    <row r="179" spans="1:5" x14ac:dyDescent="0.25">
      <c r="A179" s="12"/>
      <c r="B179" s="8"/>
      <c r="C179" s="8"/>
      <c r="D179" s="8"/>
      <c r="E179" s="13"/>
    </row>
    <row r="180" spans="1:5" x14ac:dyDescent="0.25">
      <c r="A180" s="12"/>
      <c r="B180" s="8"/>
      <c r="C180" s="8"/>
      <c r="D180" s="8"/>
      <c r="E180" s="13"/>
    </row>
    <row r="181" spans="1:5" x14ac:dyDescent="0.25">
      <c r="A181" s="12"/>
      <c r="B181" s="8"/>
      <c r="C181" s="8"/>
      <c r="D181" s="8"/>
      <c r="E181" s="13"/>
    </row>
    <row r="182" spans="1:5" x14ac:dyDescent="0.25">
      <c r="A182" s="12"/>
      <c r="B182" s="8"/>
      <c r="C182" s="8"/>
      <c r="D182" s="8"/>
      <c r="E182" s="13"/>
    </row>
    <row r="183" spans="1:5" x14ac:dyDescent="0.25">
      <c r="A183" s="12"/>
      <c r="B183" s="8"/>
      <c r="C183" s="8"/>
      <c r="D183" s="8"/>
      <c r="E183" s="13"/>
    </row>
    <row r="184" spans="1:5" x14ac:dyDescent="0.25">
      <c r="A184" s="12"/>
      <c r="B184" s="8"/>
      <c r="C184" s="8"/>
      <c r="D184" s="8"/>
      <c r="E184" s="13"/>
    </row>
    <row r="185" spans="1:5" x14ac:dyDescent="0.25">
      <c r="A185" s="12"/>
      <c r="B185" s="8"/>
      <c r="C185" s="8"/>
      <c r="D185" s="8"/>
      <c r="E185" s="13"/>
    </row>
    <row r="186" spans="1:5" x14ac:dyDescent="0.25">
      <c r="A186" s="12"/>
      <c r="B186" s="8"/>
      <c r="C186" s="8"/>
      <c r="D186" s="8"/>
      <c r="E186" s="13"/>
    </row>
    <row r="187" spans="1:5" x14ac:dyDescent="0.25">
      <c r="A187" s="12"/>
      <c r="B187" s="8"/>
      <c r="C187" s="8"/>
      <c r="D187" s="8"/>
      <c r="E187" s="13"/>
    </row>
    <row r="188" spans="1:5" x14ac:dyDescent="0.25">
      <c r="A188" s="12"/>
      <c r="B188" s="8"/>
      <c r="C188" s="8"/>
      <c r="D188" s="8"/>
      <c r="E188" s="13"/>
    </row>
    <row r="189" spans="1:5" x14ac:dyDescent="0.25">
      <c r="A189" s="12"/>
      <c r="B189" s="8"/>
      <c r="C189" s="8"/>
      <c r="D189" s="8"/>
      <c r="E189" s="13"/>
    </row>
    <row r="190" spans="1:5" x14ac:dyDescent="0.25">
      <c r="A190" s="12"/>
      <c r="B190" s="8"/>
      <c r="C190" s="8"/>
      <c r="D190" s="8"/>
      <c r="E190" s="13"/>
    </row>
    <row r="191" spans="1:5" x14ac:dyDescent="0.25">
      <c r="A191" s="12"/>
      <c r="B191" s="8"/>
      <c r="C191" s="8"/>
      <c r="D191" s="8"/>
      <c r="E191" s="13"/>
    </row>
    <row r="192" spans="1:5" x14ac:dyDescent="0.25">
      <c r="A192" s="12"/>
      <c r="B192" s="8"/>
      <c r="C192" s="8"/>
      <c r="D192" s="8"/>
      <c r="E192" s="13"/>
    </row>
    <row r="193" spans="1:5" x14ac:dyDescent="0.25">
      <c r="A193" s="12"/>
      <c r="B193" s="8"/>
      <c r="C193" s="8"/>
      <c r="D193" s="8"/>
      <c r="E193" s="13"/>
    </row>
    <row r="194" spans="1:5" x14ac:dyDescent="0.25">
      <c r="A194" s="12"/>
      <c r="B194" s="8"/>
      <c r="C194" s="8"/>
      <c r="D194" s="8"/>
      <c r="E194" s="13"/>
    </row>
    <row r="195" spans="1:5" x14ac:dyDescent="0.25">
      <c r="A195" s="12"/>
      <c r="B195" s="8"/>
      <c r="C195" s="8"/>
      <c r="D195" s="8"/>
      <c r="E195" s="13"/>
    </row>
    <row r="196" spans="1:5" x14ac:dyDescent="0.25">
      <c r="A196" s="12"/>
      <c r="B196" s="8"/>
      <c r="C196" s="8"/>
      <c r="D196" s="8"/>
      <c r="E196" s="13"/>
    </row>
    <row r="197" spans="1:5" x14ac:dyDescent="0.25">
      <c r="A197" s="12"/>
      <c r="B197" s="8"/>
      <c r="C197" s="8"/>
      <c r="D197" s="8"/>
      <c r="E197" s="13"/>
    </row>
    <row r="198" spans="1:5" x14ac:dyDescent="0.25">
      <c r="A198" s="12"/>
      <c r="B198" s="8"/>
      <c r="C198" s="8"/>
      <c r="D198" s="8"/>
      <c r="E198" s="13"/>
    </row>
    <row r="199" spans="1:5" x14ac:dyDescent="0.25">
      <c r="A199" s="12"/>
      <c r="B199" s="8"/>
      <c r="C199" s="8"/>
      <c r="D199" s="8"/>
      <c r="E199" s="13"/>
    </row>
    <row r="200" spans="1:5" x14ac:dyDescent="0.25">
      <c r="A200" s="12"/>
      <c r="B200" s="8"/>
      <c r="C200" s="8"/>
      <c r="D200" s="8"/>
      <c r="E200" s="13"/>
    </row>
    <row r="201" spans="1:5" x14ac:dyDescent="0.25">
      <c r="A201" s="12"/>
      <c r="B201" s="8"/>
      <c r="C201" s="8"/>
      <c r="D201" s="8"/>
      <c r="E201" s="13"/>
    </row>
    <row r="202" spans="1:5" x14ac:dyDescent="0.25">
      <c r="A202" s="12"/>
      <c r="B202" s="8"/>
      <c r="C202" s="8"/>
      <c r="D202" s="8"/>
      <c r="E202" s="13"/>
    </row>
    <row r="203" spans="1:5" x14ac:dyDescent="0.25">
      <c r="A203" s="12"/>
      <c r="B203" s="8"/>
      <c r="C203" s="8"/>
      <c r="D203" s="8"/>
      <c r="E203" s="13"/>
    </row>
    <row r="204" spans="1:5" x14ac:dyDescent="0.25">
      <c r="A204" s="12"/>
      <c r="B204" s="8"/>
      <c r="C204" s="8"/>
      <c r="D204" s="8"/>
      <c r="E204" s="13"/>
    </row>
    <row r="205" spans="1:5" x14ac:dyDescent="0.25">
      <c r="A205" s="12"/>
      <c r="B205" s="8"/>
      <c r="C205" s="8"/>
      <c r="D205" s="8"/>
      <c r="E205" s="13"/>
    </row>
    <row r="206" spans="1:5" x14ac:dyDescent="0.25">
      <c r="A206" s="12"/>
      <c r="B206" s="8"/>
      <c r="C206" s="8"/>
      <c r="D206" s="8"/>
      <c r="E206" s="13"/>
    </row>
    <row r="207" spans="1:5" x14ac:dyDescent="0.25">
      <c r="A207" s="12"/>
      <c r="B207" s="8"/>
      <c r="C207" s="8"/>
      <c r="D207" s="8"/>
      <c r="E207" s="13"/>
    </row>
    <row r="208" spans="1:5" x14ac:dyDescent="0.25">
      <c r="A208" s="12"/>
      <c r="B208" s="8"/>
      <c r="C208" s="8"/>
      <c r="D208" s="8"/>
      <c r="E208" s="13"/>
    </row>
    <row r="209" spans="1:5" x14ac:dyDescent="0.25">
      <c r="A209" s="12"/>
      <c r="B209" s="8"/>
      <c r="C209" s="8"/>
      <c r="D209" s="8"/>
      <c r="E209" s="13"/>
    </row>
    <row r="210" spans="1:5" x14ac:dyDescent="0.25">
      <c r="A210" s="12"/>
      <c r="B210" s="8"/>
      <c r="C210" s="8"/>
      <c r="D210" s="8"/>
      <c r="E210" s="13"/>
    </row>
    <row r="211" spans="1:5" x14ac:dyDescent="0.25">
      <c r="A211" s="12"/>
      <c r="B211" s="8"/>
      <c r="C211" s="8"/>
      <c r="D211" s="8"/>
      <c r="E211" s="13"/>
    </row>
    <row r="212" spans="1:5" x14ac:dyDescent="0.25">
      <c r="A212" s="12"/>
      <c r="B212" s="8"/>
      <c r="C212" s="8"/>
      <c r="D212" s="8"/>
      <c r="E212" s="13"/>
    </row>
    <row r="213" spans="1:5" x14ac:dyDescent="0.25">
      <c r="A213" s="12"/>
      <c r="B213" s="8"/>
      <c r="C213" s="8"/>
      <c r="D213" s="8"/>
      <c r="E213" s="13"/>
    </row>
    <row r="214" spans="1:5" x14ac:dyDescent="0.25">
      <c r="A214" s="12"/>
      <c r="B214" s="8"/>
      <c r="C214" s="8"/>
      <c r="D214" s="8"/>
      <c r="E214" s="13"/>
    </row>
    <row r="215" spans="1:5" x14ac:dyDescent="0.25">
      <c r="A215" s="12"/>
      <c r="B215" s="8"/>
      <c r="C215" s="8"/>
      <c r="D215" s="8"/>
      <c r="E215" s="13"/>
    </row>
    <row r="216" spans="1:5" x14ac:dyDescent="0.25">
      <c r="A216" s="12"/>
      <c r="B216" s="8"/>
      <c r="C216" s="8"/>
      <c r="D216" s="8"/>
      <c r="E216" s="13"/>
    </row>
    <row r="217" spans="1:5" x14ac:dyDescent="0.25">
      <c r="A217" s="12"/>
      <c r="B217" s="8"/>
      <c r="C217" s="8"/>
      <c r="D217" s="8"/>
      <c r="E217" s="13"/>
    </row>
    <row r="218" spans="1:5" x14ac:dyDescent="0.25">
      <c r="A218" s="12"/>
      <c r="B218" s="8"/>
      <c r="C218" s="8"/>
      <c r="D218" s="8"/>
      <c r="E218" s="13"/>
    </row>
    <row r="219" spans="1:5" x14ac:dyDescent="0.25">
      <c r="A219" s="12"/>
      <c r="B219" s="8"/>
      <c r="C219" s="8"/>
      <c r="D219" s="8"/>
      <c r="E219" s="13"/>
    </row>
    <row r="220" spans="1:5" x14ac:dyDescent="0.25">
      <c r="A220" s="12"/>
      <c r="B220" s="8"/>
      <c r="C220" s="8"/>
      <c r="D220" s="8"/>
      <c r="E220" s="13"/>
    </row>
    <row r="221" spans="1:5" x14ac:dyDescent="0.25">
      <c r="A221" s="12"/>
      <c r="B221" s="8"/>
      <c r="C221" s="8"/>
      <c r="D221" s="8"/>
      <c r="E221" s="13"/>
    </row>
    <row r="222" spans="1:5" x14ac:dyDescent="0.25">
      <c r="A222" s="12"/>
      <c r="B222" s="8"/>
      <c r="C222" s="8"/>
      <c r="D222" s="8"/>
      <c r="E222" s="13"/>
    </row>
    <row r="223" spans="1:5" x14ac:dyDescent="0.25">
      <c r="A223" s="12"/>
      <c r="B223" s="8"/>
      <c r="C223" s="8"/>
      <c r="D223" s="8"/>
      <c r="E223" s="13"/>
    </row>
    <row r="224" spans="1:5" x14ac:dyDescent="0.25">
      <c r="A224" s="12"/>
      <c r="B224" s="8"/>
      <c r="C224" s="8"/>
      <c r="D224" s="8"/>
      <c r="E224" s="13"/>
    </row>
    <row r="225" spans="1:5" x14ac:dyDescent="0.25">
      <c r="A225" s="12"/>
      <c r="B225" s="8"/>
      <c r="C225" s="8"/>
      <c r="D225" s="8"/>
      <c r="E225" s="13"/>
    </row>
    <row r="226" spans="1:5" x14ac:dyDescent="0.25">
      <c r="A226" s="12"/>
      <c r="B226" s="8"/>
      <c r="C226" s="8"/>
      <c r="D226" s="8"/>
      <c r="E226" s="13"/>
    </row>
    <row r="227" spans="1:5" x14ac:dyDescent="0.25">
      <c r="A227" s="12"/>
      <c r="B227" s="8"/>
      <c r="C227" s="8"/>
      <c r="D227" s="8"/>
      <c r="E227" s="13"/>
    </row>
    <row r="228" spans="1:5" x14ac:dyDescent="0.25">
      <c r="A228" s="12"/>
      <c r="B228" s="8"/>
      <c r="C228" s="8"/>
      <c r="D228" s="8"/>
      <c r="E228" s="13"/>
    </row>
    <row r="229" spans="1:5" x14ac:dyDescent="0.25">
      <c r="A229" s="12"/>
      <c r="B229" s="8"/>
      <c r="C229" s="8"/>
      <c r="D229" s="8"/>
      <c r="E229" s="13"/>
    </row>
    <row r="230" spans="1:5" x14ac:dyDescent="0.25">
      <c r="A230" s="12"/>
      <c r="B230" s="8"/>
      <c r="C230" s="8"/>
      <c r="D230" s="8"/>
      <c r="E230" s="13"/>
    </row>
    <row r="231" spans="1:5" x14ac:dyDescent="0.25">
      <c r="A231" s="12"/>
      <c r="B231" s="8"/>
      <c r="C231" s="8"/>
      <c r="D231" s="8"/>
      <c r="E231" s="13"/>
    </row>
    <row r="232" spans="1:5" x14ac:dyDescent="0.25">
      <c r="A232" s="12"/>
      <c r="B232" s="8"/>
      <c r="C232" s="8"/>
      <c r="D232" s="8"/>
      <c r="E232" s="13"/>
    </row>
    <row r="233" spans="1:5" x14ac:dyDescent="0.25">
      <c r="A233" s="12"/>
      <c r="B233" s="8"/>
      <c r="C233" s="8"/>
      <c r="D233" s="8"/>
      <c r="E233" s="13"/>
    </row>
    <row r="234" spans="1:5" x14ac:dyDescent="0.25">
      <c r="A234" s="12"/>
      <c r="B234" s="8"/>
      <c r="C234" s="8"/>
      <c r="D234" s="8"/>
      <c r="E234" s="13"/>
    </row>
    <row r="235" spans="1:5" x14ac:dyDescent="0.25">
      <c r="A235" s="12"/>
      <c r="B235" s="8"/>
      <c r="C235" s="8"/>
      <c r="D235" s="8"/>
      <c r="E235" s="13"/>
    </row>
    <row r="236" spans="1:5" x14ac:dyDescent="0.25">
      <c r="A236" s="12"/>
      <c r="B236" s="8"/>
      <c r="C236" s="8"/>
      <c r="D236" s="8"/>
      <c r="E236" s="13"/>
    </row>
    <row r="237" spans="1:5" x14ac:dyDescent="0.25">
      <c r="A237" s="12"/>
      <c r="B237" s="8"/>
      <c r="C237" s="8"/>
      <c r="D237" s="8"/>
      <c r="E237" s="13"/>
    </row>
    <row r="238" spans="1:5" x14ac:dyDescent="0.25">
      <c r="A238" s="12"/>
      <c r="B238" s="8"/>
      <c r="C238" s="8"/>
      <c r="D238" s="8"/>
      <c r="E238" s="13"/>
    </row>
    <row r="239" spans="1:5" x14ac:dyDescent="0.25">
      <c r="A239" s="12"/>
      <c r="B239" s="8"/>
      <c r="C239" s="8"/>
      <c r="D239" s="8"/>
      <c r="E239" s="13"/>
    </row>
    <row r="240" spans="1:5" x14ac:dyDescent="0.25">
      <c r="A240" s="12"/>
      <c r="B240" s="8"/>
      <c r="C240" s="8"/>
      <c r="D240" s="8"/>
      <c r="E240" s="13"/>
    </row>
    <row r="241" spans="1:5" x14ac:dyDescent="0.25">
      <c r="A241" s="12"/>
      <c r="B241" s="8"/>
      <c r="C241" s="8"/>
      <c r="D241" s="8"/>
      <c r="E241" s="13"/>
    </row>
    <row r="242" spans="1:5" x14ac:dyDescent="0.25">
      <c r="A242" s="12"/>
      <c r="B242" s="8"/>
      <c r="C242" s="8"/>
      <c r="D242" s="8"/>
      <c r="E242" s="13"/>
    </row>
    <row r="243" spans="1:5" x14ac:dyDescent="0.25">
      <c r="A243" s="12"/>
      <c r="B243" s="8"/>
      <c r="C243" s="8"/>
      <c r="D243" s="8"/>
      <c r="E243" s="13"/>
    </row>
    <row r="244" spans="1:5" x14ac:dyDescent="0.25">
      <c r="A244" s="12"/>
      <c r="B244" s="8"/>
      <c r="C244" s="8"/>
      <c r="D244" s="8"/>
      <c r="E244" s="13"/>
    </row>
    <row r="245" spans="1:5" x14ac:dyDescent="0.25">
      <c r="A245" s="12"/>
      <c r="B245" s="8"/>
      <c r="C245" s="8"/>
      <c r="D245" s="8"/>
      <c r="E245" s="13"/>
    </row>
    <row r="246" spans="1:5" x14ac:dyDescent="0.25">
      <c r="A246" s="12"/>
      <c r="B246" s="8"/>
      <c r="C246" s="8"/>
      <c r="D246" s="8"/>
      <c r="E246" s="13"/>
    </row>
    <row r="247" spans="1:5" x14ac:dyDescent="0.25">
      <c r="A247" s="12"/>
      <c r="B247" s="8"/>
      <c r="C247" s="8"/>
      <c r="D247" s="8"/>
      <c r="E247" s="13"/>
    </row>
    <row r="248" spans="1:5" x14ac:dyDescent="0.25">
      <c r="A248" s="12"/>
      <c r="B248" s="8"/>
      <c r="C248" s="8"/>
      <c r="D248" s="8"/>
      <c r="E248" s="13"/>
    </row>
    <row r="249" spans="1:5" x14ac:dyDescent="0.25">
      <c r="A249" s="12"/>
      <c r="B249" s="8"/>
      <c r="C249" s="8"/>
      <c r="D249" s="8"/>
      <c r="E249" s="13"/>
    </row>
    <row r="250" spans="1:5" x14ac:dyDescent="0.25">
      <c r="A250" s="12"/>
      <c r="B250" s="8"/>
      <c r="C250" s="8"/>
      <c r="D250" s="8"/>
      <c r="E250" s="13"/>
    </row>
    <row r="251" spans="1:5" x14ac:dyDescent="0.25">
      <c r="A251" s="12"/>
      <c r="B251" s="8"/>
      <c r="C251" s="8"/>
      <c r="D251" s="8"/>
      <c r="E251" s="13"/>
    </row>
    <row r="252" spans="1:5" x14ac:dyDescent="0.25">
      <c r="A252" s="12"/>
      <c r="B252" s="8"/>
      <c r="C252" s="8"/>
      <c r="D252" s="8"/>
      <c r="E252" s="13"/>
    </row>
    <row r="253" spans="1:5" x14ac:dyDescent="0.25">
      <c r="A253" s="12"/>
      <c r="B253" s="8"/>
      <c r="C253" s="8"/>
      <c r="D253" s="8"/>
      <c r="E253" s="13"/>
    </row>
    <row r="254" spans="1:5" x14ac:dyDescent="0.25">
      <c r="A254" s="12"/>
      <c r="B254" s="8"/>
      <c r="C254" s="8"/>
      <c r="D254" s="8"/>
      <c r="E254" s="13"/>
    </row>
    <row r="255" spans="1:5" x14ac:dyDescent="0.25">
      <c r="A255" s="12"/>
      <c r="B255" s="8"/>
      <c r="C255" s="8"/>
      <c r="D255" s="8"/>
      <c r="E255" s="13"/>
    </row>
    <row r="256" spans="1:5" x14ac:dyDescent="0.25">
      <c r="A256" s="12"/>
      <c r="B256" s="8"/>
      <c r="C256" s="8"/>
      <c r="D256" s="8"/>
      <c r="E256" s="13"/>
    </row>
    <row r="257" spans="1:5" x14ac:dyDescent="0.25">
      <c r="A257" s="12"/>
      <c r="B257" s="8"/>
      <c r="C257" s="8"/>
      <c r="D257" s="8"/>
      <c r="E257" s="13"/>
    </row>
    <row r="258" spans="1:5" x14ac:dyDescent="0.25">
      <c r="A258" s="12"/>
      <c r="B258" s="8"/>
      <c r="C258" s="8"/>
      <c r="D258" s="8"/>
      <c r="E258" s="13"/>
    </row>
    <row r="259" spans="1:5" x14ac:dyDescent="0.25">
      <c r="A259" s="12"/>
      <c r="B259" s="8"/>
      <c r="C259" s="8"/>
      <c r="D259" s="8"/>
      <c r="E259" s="13"/>
    </row>
    <row r="260" spans="1:5" x14ac:dyDescent="0.25">
      <c r="A260" s="12"/>
      <c r="B260" s="8"/>
      <c r="C260" s="8"/>
      <c r="D260" s="8"/>
      <c r="E260" s="13"/>
    </row>
    <row r="261" spans="1:5" x14ac:dyDescent="0.25">
      <c r="A261" s="12"/>
      <c r="B261" s="8"/>
      <c r="C261" s="8"/>
      <c r="D261" s="8"/>
      <c r="E261" s="13"/>
    </row>
    <row r="262" spans="1:5" x14ac:dyDescent="0.25">
      <c r="A262" s="12"/>
      <c r="B262" s="8"/>
      <c r="C262" s="8"/>
      <c r="D262" s="8"/>
      <c r="E262" s="13"/>
    </row>
    <row r="263" spans="1:5" x14ac:dyDescent="0.25">
      <c r="A263" s="12"/>
      <c r="B263" s="8"/>
      <c r="C263" s="8"/>
      <c r="D263" s="8"/>
      <c r="E263" s="13"/>
    </row>
    <row r="264" spans="1:5" x14ac:dyDescent="0.25">
      <c r="A264" s="12"/>
      <c r="B264" s="8"/>
      <c r="C264" s="8"/>
      <c r="D264" s="8"/>
      <c r="E264" s="13"/>
    </row>
    <row r="265" spans="1:5" x14ac:dyDescent="0.25">
      <c r="A265" s="12"/>
      <c r="B265" s="8"/>
      <c r="C265" s="8"/>
      <c r="D265" s="8"/>
      <c r="E265" s="13"/>
    </row>
    <row r="266" spans="1:5" x14ac:dyDescent="0.25">
      <c r="A266" s="12"/>
      <c r="B266" s="8"/>
      <c r="C266" s="8"/>
      <c r="D266" s="8"/>
      <c r="E266" s="13"/>
    </row>
    <row r="267" spans="1:5" x14ac:dyDescent="0.25">
      <c r="A267" s="12"/>
      <c r="B267" s="8"/>
      <c r="C267" s="8"/>
      <c r="D267" s="8"/>
      <c r="E267" s="13"/>
    </row>
    <row r="268" spans="1:5" x14ac:dyDescent="0.25">
      <c r="A268" s="12"/>
      <c r="B268" s="8"/>
      <c r="C268" s="8"/>
      <c r="D268" s="8"/>
      <c r="E268" s="13"/>
    </row>
    <row r="269" spans="1:5" x14ac:dyDescent="0.25">
      <c r="A269" s="12"/>
      <c r="B269" s="8"/>
      <c r="C269" s="8"/>
      <c r="D269" s="8"/>
      <c r="E269" s="13"/>
    </row>
    <row r="270" spans="1:5" x14ac:dyDescent="0.25">
      <c r="A270" s="12"/>
      <c r="B270" s="8"/>
      <c r="C270" s="8"/>
      <c r="D270" s="8"/>
      <c r="E270" s="13"/>
    </row>
    <row r="271" spans="1:5" x14ac:dyDescent="0.25">
      <c r="A271" s="12"/>
      <c r="B271" s="8"/>
      <c r="C271" s="8"/>
      <c r="D271" s="8"/>
      <c r="E271" s="13"/>
    </row>
    <row r="272" spans="1:5" x14ac:dyDescent="0.25">
      <c r="A272" s="12"/>
      <c r="B272" s="8"/>
      <c r="C272" s="8"/>
      <c r="D272" s="8"/>
      <c r="E272" s="13"/>
    </row>
    <row r="273" spans="1:5" x14ac:dyDescent="0.25">
      <c r="A273" s="12"/>
      <c r="B273" s="8"/>
      <c r="C273" s="8"/>
      <c r="D273" s="8"/>
      <c r="E273" s="13"/>
    </row>
    <row r="274" spans="1:5" x14ac:dyDescent="0.25">
      <c r="A274" s="12"/>
      <c r="B274" s="8"/>
      <c r="C274" s="8"/>
      <c r="D274" s="8"/>
      <c r="E274" s="13"/>
    </row>
    <row r="275" spans="1:5" x14ac:dyDescent="0.25">
      <c r="A275" s="12"/>
      <c r="B275" s="8"/>
      <c r="C275" s="8"/>
      <c r="D275" s="8"/>
      <c r="E275" s="13"/>
    </row>
    <row r="276" spans="1:5" x14ac:dyDescent="0.25">
      <c r="A276" s="12"/>
      <c r="B276" s="8"/>
      <c r="C276" s="8"/>
      <c r="D276" s="8"/>
      <c r="E276" s="13"/>
    </row>
    <row r="277" spans="1:5" x14ac:dyDescent="0.25">
      <c r="A277" s="12"/>
      <c r="B277" s="8"/>
      <c r="C277" s="8"/>
      <c r="D277" s="8"/>
      <c r="E277" s="13"/>
    </row>
    <row r="278" spans="1:5" x14ac:dyDescent="0.25">
      <c r="A278" s="12"/>
      <c r="B278" s="8"/>
      <c r="C278" s="8"/>
      <c r="D278" s="8"/>
      <c r="E278" s="13"/>
    </row>
    <row r="279" spans="1:5" x14ac:dyDescent="0.25">
      <c r="A279" s="12"/>
      <c r="B279" s="8"/>
      <c r="C279" s="8"/>
      <c r="D279" s="8"/>
      <c r="E279" s="13"/>
    </row>
    <row r="280" spans="1:5" x14ac:dyDescent="0.25">
      <c r="A280" s="12"/>
      <c r="B280" s="8"/>
      <c r="C280" s="8"/>
      <c r="D280" s="8"/>
      <c r="E280" s="13"/>
    </row>
    <row r="281" spans="1:5" x14ac:dyDescent="0.25">
      <c r="A281" s="12"/>
      <c r="B281" s="8"/>
      <c r="C281" s="8"/>
      <c r="D281" s="8"/>
      <c r="E281" s="13"/>
    </row>
    <row r="282" spans="1:5" x14ac:dyDescent="0.25">
      <c r="A282" s="12"/>
      <c r="B282" s="8"/>
      <c r="C282" s="8"/>
      <c r="D282" s="8"/>
      <c r="E282" s="13"/>
    </row>
    <row r="283" spans="1:5" x14ac:dyDescent="0.25">
      <c r="A283" s="12"/>
      <c r="B283" s="8"/>
      <c r="C283" s="8"/>
      <c r="D283" s="8"/>
      <c r="E283" s="13"/>
    </row>
    <row r="284" spans="1:5" x14ac:dyDescent="0.25">
      <c r="A284" s="12"/>
      <c r="B284" s="8"/>
      <c r="C284" s="8"/>
      <c r="D284" s="8"/>
      <c r="E284" s="13"/>
    </row>
    <row r="285" spans="1:5" x14ac:dyDescent="0.25">
      <c r="A285" s="12"/>
      <c r="B285" s="8"/>
      <c r="C285" s="8"/>
      <c r="D285" s="8"/>
      <c r="E285" s="13"/>
    </row>
    <row r="286" spans="1:5" x14ac:dyDescent="0.25">
      <c r="A286" s="12"/>
      <c r="B286" s="8"/>
      <c r="C286" s="8"/>
      <c r="D286" s="8"/>
      <c r="E286" s="13"/>
    </row>
    <row r="287" spans="1:5" x14ac:dyDescent="0.25">
      <c r="A287" s="12"/>
      <c r="B287" s="8"/>
      <c r="C287" s="8"/>
      <c r="D287" s="8"/>
      <c r="E287" s="13"/>
    </row>
    <row r="288" spans="1:5" x14ac:dyDescent="0.25">
      <c r="A288" s="12"/>
      <c r="B288" s="8"/>
      <c r="C288" s="8"/>
      <c r="D288" s="8"/>
      <c r="E288" s="13"/>
    </row>
    <row r="289" spans="1:5" x14ac:dyDescent="0.25">
      <c r="A289" s="12"/>
      <c r="B289" s="8"/>
      <c r="C289" s="8"/>
      <c r="D289" s="8"/>
      <c r="E289" s="13"/>
    </row>
    <row r="290" spans="1:5" x14ac:dyDescent="0.25">
      <c r="A290" s="12"/>
      <c r="B290" s="8"/>
      <c r="C290" s="8"/>
      <c r="D290" s="8"/>
      <c r="E290" s="13"/>
    </row>
    <row r="291" spans="1:5" x14ac:dyDescent="0.25">
      <c r="A291" s="12"/>
      <c r="B291" s="8"/>
      <c r="C291" s="8"/>
      <c r="D291" s="8"/>
      <c r="E291" s="13"/>
    </row>
    <row r="292" spans="1:5" x14ac:dyDescent="0.25">
      <c r="A292" s="12"/>
      <c r="B292" s="8"/>
      <c r="C292" s="8"/>
      <c r="D292" s="8"/>
      <c r="E292" s="13"/>
    </row>
    <row r="293" spans="1:5" x14ac:dyDescent="0.25">
      <c r="A293" s="12"/>
      <c r="B293" s="8"/>
      <c r="C293" s="8"/>
      <c r="D293" s="8"/>
      <c r="E293" s="13"/>
    </row>
    <row r="294" spans="1:5" x14ac:dyDescent="0.25">
      <c r="A294" s="12"/>
      <c r="B294" s="8"/>
      <c r="C294" s="8"/>
      <c r="D294" s="8"/>
      <c r="E294" s="13"/>
    </row>
    <row r="295" spans="1:5" x14ac:dyDescent="0.25">
      <c r="A295" s="12"/>
      <c r="B295" s="8"/>
      <c r="C295" s="8"/>
      <c r="D295" s="8"/>
      <c r="E295" s="13"/>
    </row>
    <row r="296" spans="1:5" x14ac:dyDescent="0.25">
      <c r="A296" s="12"/>
      <c r="B296" s="8"/>
      <c r="C296" s="8"/>
      <c r="D296" s="8"/>
      <c r="E296" s="13"/>
    </row>
    <row r="297" spans="1:5" x14ac:dyDescent="0.25">
      <c r="A297" s="12"/>
      <c r="B297" s="8"/>
      <c r="C297" s="8"/>
      <c r="D297" s="8"/>
      <c r="E297" s="13"/>
    </row>
    <row r="298" spans="1:5" x14ac:dyDescent="0.25">
      <c r="A298" s="12"/>
      <c r="B298" s="8"/>
      <c r="C298" s="8"/>
      <c r="D298" s="8"/>
      <c r="E298" s="13"/>
    </row>
    <row r="299" spans="1:5" x14ac:dyDescent="0.25">
      <c r="A299" s="12"/>
      <c r="B299" s="8"/>
      <c r="C299" s="8"/>
      <c r="D299" s="8"/>
      <c r="E299" s="13"/>
    </row>
    <row r="300" spans="1:5" x14ac:dyDescent="0.25">
      <c r="A300" s="12"/>
      <c r="B300" s="8"/>
      <c r="C300" s="8"/>
      <c r="D300" s="8"/>
      <c r="E300" s="13"/>
    </row>
    <row r="301" spans="1:5" x14ac:dyDescent="0.25">
      <c r="A301" s="12"/>
      <c r="B301" s="8"/>
      <c r="C301" s="8"/>
      <c r="D301" s="8"/>
      <c r="E301" s="13"/>
    </row>
    <row r="302" spans="1:5" x14ac:dyDescent="0.25">
      <c r="A302" s="12"/>
      <c r="B302" s="8"/>
      <c r="C302" s="8"/>
      <c r="D302" s="8"/>
      <c r="E302" s="13"/>
    </row>
    <row r="303" spans="1:5" x14ac:dyDescent="0.25">
      <c r="A303" s="12"/>
      <c r="B303" s="8"/>
      <c r="C303" s="8"/>
      <c r="D303" s="8"/>
      <c r="E303" s="13"/>
    </row>
    <row r="304" spans="1:5" x14ac:dyDescent="0.25">
      <c r="A304" s="12"/>
      <c r="B304" s="8"/>
      <c r="C304" s="8"/>
      <c r="D304" s="8"/>
      <c r="E304" s="13"/>
    </row>
    <row r="305" spans="1:5" x14ac:dyDescent="0.25">
      <c r="A305" s="12"/>
      <c r="B305" s="8"/>
      <c r="C305" s="8"/>
      <c r="D305" s="8"/>
      <c r="E305" s="13"/>
    </row>
    <row r="306" spans="1:5" x14ac:dyDescent="0.25">
      <c r="A306" s="12"/>
      <c r="B306" s="8"/>
      <c r="C306" s="8"/>
      <c r="D306" s="8"/>
      <c r="E306" s="13"/>
    </row>
    <row r="307" spans="1:5" x14ac:dyDescent="0.25">
      <c r="A307" s="12"/>
      <c r="B307" s="8"/>
      <c r="C307" s="8"/>
      <c r="D307" s="8"/>
      <c r="E307" s="13"/>
    </row>
    <row r="308" spans="1:5" x14ac:dyDescent="0.25">
      <c r="A308" s="12"/>
      <c r="B308" s="8"/>
      <c r="C308" s="8"/>
      <c r="D308" s="8"/>
      <c r="E308" s="13"/>
    </row>
    <row r="309" spans="1:5" x14ac:dyDescent="0.25">
      <c r="A309" s="12"/>
      <c r="B309" s="8"/>
      <c r="C309" s="8"/>
      <c r="D309" s="8"/>
      <c r="E309" s="13"/>
    </row>
    <row r="310" spans="1:5" x14ac:dyDescent="0.25">
      <c r="A310" s="12"/>
      <c r="B310" s="8"/>
      <c r="C310" s="8"/>
      <c r="D310" s="8"/>
      <c r="E310" s="13"/>
    </row>
    <row r="311" spans="1:5" x14ac:dyDescent="0.25">
      <c r="A311" s="12"/>
      <c r="B311" s="8"/>
      <c r="C311" s="8"/>
      <c r="D311" s="8"/>
      <c r="E311" s="13"/>
    </row>
    <row r="312" spans="1:5" x14ac:dyDescent="0.25">
      <c r="A312" s="12"/>
      <c r="B312" s="8"/>
      <c r="C312" s="8"/>
      <c r="D312" s="8"/>
      <c r="E312" s="13"/>
    </row>
    <row r="313" spans="1:5" x14ac:dyDescent="0.25">
      <c r="A313" s="12"/>
      <c r="B313" s="8"/>
      <c r="C313" s="8"/>
      <c r="D313" s="8"/>
      <c r="E313" s="13"/>
    </row>
    <row r="314" spans="1:5" x14ac:dyDescent="0.25">
      <c r="A314" s="12"/>
      <c r="B314" s="8"/>
      <c r="C314" s="8"/>
      <c r="D314" s="8"/>
      <c r="E314" s="13"/>
    </row>
    <row r="315" spans="1:5" x14ac:dyDescent="0.25">
      <c r="A315" s="12"/>
      <c r="B315" s="8"/>
      <c r="C315" s="8"/>
      <c r="D315" s="8"/>
      <c r="E315" s="13"/>
    </row>
    <row r="316" spans="1:5" x14ac:dyDescent="0.25">
      <c r="A316" s="12"/>
      <c r="B316" s="8"/>
      <c r="C316" s="8"/>
      <c r="D316" s="8"/>
      <c r="E316" s="13"/>
    </row>
    <row r="317" spans="1:5" x14ac:dyDescent="0.25">
      <c r="A317" s="12"/>
      <c r="B317" s="8"/>
      <c r="C317" s="8"/>
      <c r="D317" s="8"/>
      <c r="E317" s="13"/>
    </row>
    <row r="318" spans="1:5" x14ac:dyDescent="0.25">
      <c r="A318" s="12"/>
      <c r="B318" s="8"/>
      <c r="C318" s="8"/>
      <c r="D318" s="8"/>
      <c r="E318" s="13"/>
    </row>
    <row r="319" spans="1:5" x14ac:dyDescent="0.25">
      <c r="A319" s="12"/>
      <c r="B319" s="8"/>
      <c r="C319" s="8"/>
      <c r="D319" s="8"/>
      <c r="E319" s="13"/>
    </row>
    <row r="320" spans="1:5" x14ac:dyDescent="0.25">
      <c r="A320" s="12"/>
      <c r="B320" s="8"/>
      <c r="C320" s="8"/>
      <c r="D320" s="8"/>
      <c r="E320" s="13"/>
    </row>
    <row r="321" spans="1:5" x14ac:dyDescent="0.25">
      <c r="A321" s="12"/>
      <c r="B321" s="8"/>
      <c r="C321" s="8"/>
      <c r="D321" s="8"/>
      <c r="E321" s="13"/>
    </row>
    <row r="322" spans="1:5" x14ac:dyDescent="0.25">
      <c r="A322" s="12"/>
      <c r="B322" s="8"/>
      <c r="C322" s="8"/>
      <c r="D322" s="8"/>
      <c r="E322" s="13"/>
    </row>
    <row r="323" spans="1:5" x14ac:dyDescent="0.25">
      <c r="A323" s="12"/>
      <c r="B323" s="8"/>
      <c r="C323" s="8"/>
      <c r="D323" s="8"/>
      <c r="E323" s="13"/>
    </row>
    <row r="324" spans="1:5" x14ac:dyDescent="0.25">
      <c r="A324" s="12"/>
      <c r="B324" s="8"/>
      <c r="C324" s="8"/>
      <c r="D324" s="8"/>
      <c r="E324" s="13"/>
    </row>
    <row r="325" spans="1:5" x14ac:dyDescent="0.25">
      <c r="A325" s="12"/>
      <c r="B325" s="8"/>
      <c r="C325" s="8"/>
      <c r="D325" s="8"/>
      <c r="E325" s="13"/>
    </row>
    <row r="326" spans="1:5" x14ac:dyDescent="0.25">
      <c r="A326" s="12"/>
      <c r="B326" s="8"/>
      <c r="C326" s="8"/>
      <c r="D326" s="8"/>
      <c r="E326" s="13"/>
    </row>
    <row r="327" spans="1:5" x14ac:dyDescent="0.25">
      <c r="A327" s="12"/>
      <c r="B327" s="8"/>
      <c r="C327" s="8"/>
      <c r="D327" s="8"/>
      <c r="E327" s="13"/>
    </row>
    <row r="328" spans="1:5" x14ac:dyDescent="0.25">
      <c r="A328" s="12"/>
      <c r="B328" s="8"/>
      <c r="C328" s="8"/>
      <c r="D328" s="8"/>
      <c r="E328" s="13"/>
    </row>
    <row r="329" spans="1:5" x14ac:dyDescent="0.25">
      <c r="A329" s="12"/>
      <c r="B329" s="8"/>
      <c r="C329" s="8"/>
      <c r="D329" s="8"/>
      <c r="E329" s="13"/>
    </row>
    <row r="330" spans="1:5" x14ac:dyDescent="0.25">
      <c r="A330" s="12"/>
      <c r="B330" s="8"/>
      <c r="C330" s="8"/>
      <c r="D330" s="8"/>
      <c r="E330" s="13"/>
    </row>
    <row r="331" spans="1:5" x14ac:dyDescent="0.25">
      <c r="A331" s="12"/>
      <c r="B331" s="8"/>
      <c r="C331" s="8"/>
      <c r="D331" s="8"/>
      <c r="E331" s="13"/>
    </row>
    <row r="332" spans="1:5" x14ac:dyDescent="0.25">
      <c r="A332" s="12"/>
      <c r="B332" s="8"/>
      <c r="C332" s="8"/>
      <c r="D332" s="8"/>
      <c r="E332" s="13"/>
    </row>
    <row r="333" spans="1:5" x14ac:dyDescent="0.25">
      <c r="A333" s="12"/>
      <c r="B333" s="8"/>
      <c r="C333" s="8"/>
      <c r="D333" s="8"/>
      <c r="E333" s="13"/>
    </row>
    <row r="334" spans="1:5" x14ac:dyDescent="0.25">
      <c r="A334" s="12"/>
      <c r="B334" s="8"/>
      <c r="C334" s="8"/>
      <c r="D334" s="8"/>
      <c r="E334" s="13"/>
    </row>
    <row r="335" spans="1:5" x14ac:dyDescent="0.25">
      <c r="A335" s="12"/>
      <c r="B335" s="8"/>
      <c r="C335" s="8"/>
      <c r="D335" s="8"/>
      <c r="E335" s="13"/>
    </row>
    <row r="336" spans="1:5" x14ac:dyDescent="0.25">
      <c r="A336" s="12"/>
      <c r="B336" s="8"/>
      <c r="C336" s="8"/>
      <c r="D336" s="8"/>
      <c r="E336" s="13"/>
    </row>
    <row r="337" spans="1:5" x14ac:dyDescent="0.25">
      <c r="A337" s="12"/>
      <c r="B337" s="8"/>
      <c r="C337" s="8"/>
      <c r="D337" s="8"/>
      <c r="E337" s="13"/>
    </row>
    <row r="338" spans="1:5" x14ac:dyDescent="0.25">
      <c r="A338" s="12"/>
      <c r="B338" s="8"/>
      <c r="C338" s="8"/>
      <c r="D338" s="8"/>
      <c r="E338" s="13"/>
    </row>
    <row r="339" spans="1:5" x14ac:dyDescent="0.25">
      <c r="A339" s="12"/>
      <c r="B339" s="8"/>
      <c r="C339" s="8"/>
      <c r="D339" s="8"/>
      <c r="E339" s="13"/>
    </row>
    <row r="340" spans="1:5" x14ac:dyDescent="0.25">
      <c r="A340" s="12"/>
      <c r="B340" s="8"/>
      <c r="C340" s="8"/>
      <c r="D340" s="8"/>
      <c r="E340" s="13"/>
    </row>
    <row r="341" spans="1:5" x14ac:dyDescent="0.25">
      <c r="A341" s="12"/>
      <c r="B341" s="8"/>
      <c r="C341" s="8"/>
      <c r="D341" s="8"/>
      <c r="E341" s="13"/>
    </row>
    <row r="342" spans="1:5" x14ac:dyDescent="0.25">
      <c r="A342" s="12"/>
      <c r="B342" s="8"/>
      <c r="C342" s="8"/>
      <c r="D342" s="8"/>
      <c r="E342" s="13"/>
    </row>
    <row r="343" spans="1:5" x14ac:dyDescent="0.25">
      <c r="A343" s="12"/>
      <c r="B343" s="8"/>
      <c r="C343" s="8"/>
      <c r="D343" s="8"/>
      <c r="E343" s="13"/>
    </row>
    <row r="344" spans="1:5" x14ac:dyDescent="0.25">
      <c r="A344" s="12"/>
      <c r="B344" s="8"/>
      <c r="C344" s="8"/>
      <c r="D344" s="8"/>
      <c r="E344" s="13"/>
    </row>
    <row r="345" spans="1:5" x14ac:dyDescent="0.25">
      <c r="A345" s="12"/>
      <c r="B345" s="8"/>
      <c r="C345" s="8"/>
      <c r="D345" s="8"/>
      <c r="E345" s="13"/>
    </row>
    <row r="346" spans="1:5" x14ac:dyDescent="0.25">
      <c r="A346" s="12"/>
      <c r="B346" s="8"/>
      <c r="C346" s="8"/>
      <c r="D346" s="8"/>
      <c r="E346" s="13"/>
    </row>
    <row r="347" spans="1:5" x14ac:dyDescent="0.25">
      <c r="A347" s="12"/>
      <c r="B347" s="8"/>
      <c r="C347" s="8"/>
      <c r="D347" s="8"/>
      <c r="E347" s="13"/>
    </row>
    <row r="348" spans="1:5" x14ac:dyDescent="0.25">
      <c r="A348" s="12"/>
      <c r="B348" s="8"/>
      <c r="C348" s="8"/>
      <c r="D348" s="8"/>
      <c r="E348" s="13"/>
    </row>
    <row r="349" spans="1:5" x14ac:dyDescent="0.25">
      <c r="A349" s="12"/>
      <c r="B349" s="8"/>
      <c r="C349" s="8"/>
      <c r="D349" s="8"/>
      <c r="E349" s="13"/>
    </row>
    <row r="350" spans="1:5" x14ac:dyDescent="0.25">
      <c r="A350" s="12"/>
      <c r="B350" s="8"/>
      <c r="C350" s="8"/>
      <c r="D350" s="8"/>
      <c r="E350" s="13"/>
    </row>
    <row r="351" spans="1:5" x14ac:dyDescent="0.25">
      <c r="A351" s="12"/>
      <c r="B351" s="8"/>
      <c r="C351" s="8"/>
      <c r="D351" s="8"/>
      <c r="E351" s="13"/>
    </row>
    <row r="352" spans="1:5" x14ac:dyDescent="0.25">
      <c r="A352" s="12"/>
      <c r="B352" s="8"/>
      <c r="C352" s="8"/>
      <c r="D352" s="8"/>
      <c r="E352" s="13"/>
    </row>
    <row r="353" spans="1:5" x14ac:dyDescent="0.25">
      <c r="A353" s="12"/>
      <c r="B353" s="8"/>
      <c r="C353" s="8"/>
      <c r="D353" s="8"/>
      <c r="E353" s="13"/>
    </row>
    <row r="354" spans="1:5" x14ac:dyDescent="0.25">
      <c r="A354" s="12"/>
      <c r="B354" s="8"/>
      <c r="C354" s="8"/>
      <c r="D354" s="8"/>
      <c r="E354" s="13"/>
    </row>
    <row r="355" spans="1:5" x14ac:dyDescent="0.25">
      <c r="A355" s="12"/>
      <c r="B355" s="8"/>
      <c r="C355" s="8"/>
      <c r="D355" s="8"/>
      <c r="E355" s="13"/>
    </row>
    <row r="356" spans="1:5" x14ac:dyDescent="0.25">
      <c r="A356" s="12"/>
      <c r="B356" s="8"/>
      <c r="C356" s="8"/>
      <c r="D356" s="8"/>
      <c r="E356" s="13"/>
    </row>
    <row r="357" spans="1:5" x14ac:dyDescent="0.25">
      <c r="A357" s="12"/>
      <c r="B357" s="8"/>
      <c r="C357" s="8"/>
      <c r="D357" s="8"/>
      <c r="E357" s="13"/>
    </row>
    <row r="358" spans="1:5" x14ac:dyDescent="0.25">
      <c r="A358" s="12"/>
      <c r="B358" s="8"/>
      <c r="C358" s="8"/>
      <c r="D358" s="8"/>
      <c r="E358" s="13"/>
    </row>
    <row r="359" spans="1:5" x14ac:dyDescent="0.25">
      <c r="A359" s="12"/>
      <c r="B359" s="8"/>
      <c r="C359" s="8"/>
      <c r="D359" s="8"/>
      <c r="E359" s="13"/>
    </row>
    <row r="360" spans="1:5" x14ac:dyDescent="0.25">
      <c r="A360" s="12"/>
      <c r="B360" s="8"/>
      <c r="C360" s="8"/>
      <c r="D360" s="8"/>
      <c r="E360" s="13"/>
    </row>
    <row r="361" spans="1:5" x14ac:dyDescent="0.25">
      <c r="A361" s="12"/>
      <c r="B361" s="8"/>
      <c r="C361" s="8"/>
      <c r="D361" s="8"/>
      <c r="E361" s="13"/>
    </row>
    <row r="362" spans="1:5" x14ac:dyDescent="0.25">
      <c r="A362" s="12"/>
      <c r="B362" s="8"/>
      <c r="C362" s="8"/>
      <c r="D362" s="8"/>
      <c r="E362" s="13"/>
    </row>
    <row r="363" spans="1:5" x14ac:dyDescent="0.25">
      <c r="A363" s="12"/>
      <c r="B363" s="8"/>
      <c r="C363" s="8"/>
      <c r="D363" s="8"/>
      <c r="E363" s="13"/>
    </row>
    <row r="364" spans="1:5" x14ac:dyDescent="0.25">
      <c r="A364" s="12"/>
      <c r="B364" s="8"/>
      <c r="C364" s="8"/>
      <c r="D364" s="8"/>
      <c r="E364" s="13"/>
    </row>
    <row r="365" spans="1:5" x14ac:dyDescent="0.25">
      <c r="A365" s="12"/>
      <c r="B365" s="8"/>
      <c r="C365" s="8"/>
      <c r="D365" s="8"/>
      <c r="E365" s="13"/>
    </row>
    <row r="366" spans="1:5" x14ac:dyDescent="0.25">
      <c r="A366" s="12"/>
      <c r="B366" s="8"/>
      <c r="C366" s="8"/>
      <c r="D366" s="8"/>
      <c r="E366" s="13"/>
    </row>
    <row r="367" spans="1:5" x14ac:dyDescent="0.25">
      <c r="A367" s="12"/>
      <c r="B367" s="8"/>
      <c r="C367" s="8"/>
      <c r="D367" s="8"/>
      <c r="E367" s="13"/>
    </row>
    <row r="368" spans="1:5" x14ac:dyDescent="0.25">
      <c r="A368" s="12"/>
      <c r="B368" s="8"/>
      <c r="C368" s="8"/>
      <c r="D368" s="8"/>
      <c r="E368" s="13"/>
    </row>
    <row r="369" spans="1:5" x14ac:dyDescent="0.25">
      <c r="A369" s="12"/>
      <c r="B369" s="8"/>
      <c r="C369" s="8"/>
      <c r="D369" s="8"/>
      <c r="E369" s="13"/>
    </row>
    <row r="370" spans="1:5" x14ac:dyDescent="0.25">
      <c r="A370" s="12"/>
      <c r="B370" s="8"/>
      <c r="C370" s="8"/>
      <c r="D370" s="8"/>
      <c r="E370" s="13"/>
    </row>
    <row r="371" spans="1:5" x14ac:dyDescent="0.25">
      <c r="A371" s="12"/>
      <c r="B371" s="8"/>
      <c r="C371" s="8"/>
      <c r="D371" s="8"/>
      <c r="E371" s="13"/>
    </row>
    <row r="372" spans="1:5" x14ac:dyDescent="0.25">
      <c r="A372" s="12"/>
      <c r="B372" s="8"/>
      <c r="C372" s="8"/>
      <c r="D372" s="8"/>
      <c r="E372" s="13"/>
    </row>
    <row r="373" spans="1:5" x14ac:dyDescent="0.25">
      <c r="A373" s="12"/>
      <c r="B373" s="8"/>
      <c r="C373" s="8"/>
      <c r="D373" s="8"/>
      <c r="E373" s="13"/>
    </row>
    <row r="374" spans="1:5" x14ac:dyDescent="0.25">
      <c r="A374" s="12"/>
      <c r="B374" s="8"/>
      <c r="C374" s="8"/>
      <c r="D374" s="8"/>
      <c r="E374" s="13"/>
    </row>
    <row r="375" spans="1:5" x14ac:dyDescent="0.25">
      <c r="A375" s="12"/>
      <c r="B375" s="8"/>
      <c r="C375" s="8"/>
      <c r="D375" s="8"/>
      <c r="E375" s="13"/>
    </row>
    <row r="376" spans="1:5" x14ac:dyDescent="0.25">
      <c r="A376" s="12"/>
      <c r="B376" s="8"/>
      <c r="C376" s="8"/>
      <c r="D376" s="8"/>
      <c r="E376" s="13"/>
    </row>
    <row r="377" spans="1:5" x14ac:dyDescent="0.25">
      <c r="A377" s="12"/>
      <c r="B377" s="8"/>
      <c r="C377" s="8"/>
      <c r="D377" s="8"/>
      <c r="E377" s="13"/>
    </row>
    <row r="378" spans="1:5" x14ac:dyDescent="0.25">
      <c r="A378" s="12"/>
      <c r="B378" s="8"/>
      <c r="C378" s="8"/>
      <c r="D378" s="8"/>
      <c r="E378" s="13"/>
    </row>
    <row r="379" spans="1:5" x14ac:dyDescent="0.25">
      <c r="A379" s="12"/>
      <c r="B379" s="8"/>
      <c r="C379" s="8"/>
      <c r="D379" s="8"/>
      <c r="E379" s="13"/>
    </row>
    <row r="380" spans="1:5" x14ac:dyDescent="0.25">
      <c r="A380" s="12"/>
      <c r="B380" s="8"/>
      <c r="C380" s="8"/>
      <c r="D380" s="8"/>
      <c r="E380" s="13"/>
    </row>
    <row r="381" spans="1:5" x14ac:dyDescent="0.25">
      <c r="A381" s="12"/>
      <c r="B381" s="8"/>
      <c r="C381" s="8"/>
      <c r="D381" s="8"/>
      <c r="E381" s="13"/>
    </row>
    <row r="382" spans="1:5" x14ac:dyDescent="0.25">
      <c r="A382" s="12"/>
      <c r="B382" s="8"/>
      <c r="C382" s="8"/>
      <c r="D382" s="8"/>
      <c r="E382" s="13"/>
    </row>
    <row r="383" spans="1:5" x14ac:dyDescent="0.25">
      <c r="A383" s="12"/>
      <c r="B383" s="8"/>
      <c r="C383" s="8"/>
      <c r="D383" s="8"/>
      <c r="E383" s="13"/>
    </row>
    <row r="384" spans="1:5" x14ac:dyDescent="0.25">
      <c r="A384" s="12"/>
      <c r="B384" s="8"/>
      <c r="C384" s="8"/>
      <c r="D384" s="8"/>
      <c r="E384" s="13"/>
    </row>
    <row r="385" spans="1:5" x14ac:dyDescent="0.25">
      <c r="A385" s="12"/>
      <c r="B385" s="8"/>
      <c r="C385" s="8"/>
      <c r="D385" s="8"/>
      <c r="E385" s="13"/>
    </row>
    <row r="386" spans="1:5" x14ac:dyDescent="0.25">
      <c r="A386" s="12"/>
      <c r="B386" s="8"/>
      <c r="C386" s="8"/>
      <c r="D386" s="8"/>
      <c r="E386" s="13"/>
    </row>
    <row r="387" spans="1:5" x14ac:dyDescent="0.25">
      <c r="A387" s="12"/>
      <c r="B387" s="8"/>
      <c r="C387" s="8"/>
      <c r="D387" s="8"/>
      <c r="E387" s="13"/>
    </row>
    <row r="388" spans="1:5" x14ac:dyDescent="0.25">
      <c r="A388" s="12"/>
      <c r="B388" s="8"/>
      <c r="C388" s="8"/>
      <c r="D388" s="8"/>
      <c r="E388" s="13"/>
    </row>
    <row r="389" spans="1:5" x14ac:dyDescent="0.25">
      <c r="A389" s="12"/>
      <c r="B389" s="8"/>
      <c r="C389" s="8"/>
      <c r="D389" s="8"/>
      <c r="E389" s="13"/>
    </row>
    <row r="390" spans="1:5" x14ac:dyDescent="0.25">
      <c r="A390" s="12"/>
      <c r="B390" s="8"/>
      <c r="C390" s="8"/>
      <c r="D390" s="8"/>
      <c r="E390" s="13"/>
    </row>
    <row r="391" spans="1:5" x14ac:dyDescent="0.25">
      <c r="A391" s="12"/>
      <c r="B391" s="8"/>
      <c r="C391" s="8"/>
      <c r="D391" s="8"/>
      <c r="E391" s="13"/>
    </row>
    <row r="392" spans="1:5" x14ac:dyDescent="0.25">
      <c r="A392" s="12"/>
      <c r="B392" s="8"/>
      <c r="C392" s="8"/>
      <c r="D392" s="8"/>
      <c r="E392" s="13"/>
    </row>
    <row r="393" spans="1:5" x14ac:dyDescent="0.25">
      <c r="A393" s="12"/>
      <c r="B393" s="8"/>
      <c r="C393" s="8"/>
      <c r="D393" s="8"/>
      <c r="E393" s="13"/>
    </row>
    <row r="394" spans="1:5" x14ac:dyDescent="0.25">
      <c r="A394" s="12"/>
      <c r="B394" s="8"/>
      <c r="C394" s="8"/>
      <c r="D394" s="8"/>
      <c r="E394" s="13"/>
    </row>
    <row r="395" spans="1:5" x14ac:dyDescent="0.25">
      <c r="A395" s="12"/>
      <c r="B395" s="8"/>
      <c r="C395" s="8"/>
      <c r="D395" s="8"/>
      <c r="E395" s="13"/>
    </row>
    <row r="396" spans="1:5" x14ac:dyDescent="0.25">
      <c r="A396" s="12"/>
      <c r="B396" s="8"/>
      <c r="C396" s="8"/>
      <c r="D396" s="8"/>
      <c r="E396" s="13"/>
    </row>
    <row r="397" spans="1:5" x14ac:dyDescent="0.25">
      <c r="A397" s="12"/>
      <c r="B397" s="8"/>
      <c r="C397" s="8"/>
      <c r="D397" s="8"/>
      <c r="E397" s="13"/>
    </row>
    <row r="398" spans="1:5" x14ac:dyDescent="0.25">
      <c r="A398" s="12"/>
      <c r="B398" s="8"/>
      <c r="C398" s="8"/>
      <c r="D398" s="8"/>
      <c r="E398" s="13"/>
    </row>
    <row r="399" spans="1:5" x14ac:dyDescent="0.25">
      <c r="A399" s="12"/>
      <c r="B399" s="8"/>
      <c r="C399" s="8"/>
      <c r="D399" s="8"/>
      <c r="E399" s="13"/>
    </row>
    <row r="400" spans="1:5" x14ac:dyDescent="0.25">
      <c r="A400" s="12"/>
      <c r="B400" s="8"/>
      <c r="C400" s="8"/>
      <c r="D400" s="8"/>
      <c r="E400" s="13"/>
    </row>
    <row r="401" spans="1:5" x14ac:dyDescent="0.25">
      <c r="A401" s="12"/>
      <c r="B401" s="8"/>
      <c r="C401" s="8"/>
      <c r="D401" s="8"/>
      <c r="E401" s="13"/>
    </row>
    <row r="402" spans="1:5" x14ac:dyDescent="0.25">
      <c r="A402" s="12"/>
      <c r="B402" s="8"/>
      <c r="C402" s="8"/>
      <c r="D402" s="8"/>
      <c r="E402" s="13"/>
    </row>
    <row r="403" spans="1:5" x14ac:dyDescent="0.25">
      <c r="A403" s="12"/>
      <c r="B403" s="8"/>
      <c r="C403" s="8"/>
      <c r="D403" s="8"/>
      <c r="E403" s="13"/>
    </row>
    <row r="404" spans="1:5" x14ac:dyDescent="0.25">
      <c r="A404" s="12"/>
      <c r="B404" s="8"/>
      <c r="C404" s="8"/>
      <c r="D404" s="8"/>
      <c r="E404" s="13"/>
    </row>
    <row r="405" spans="1:5" x14ac:dyDescent="0.25">
      <c r="A405" s="12"/>
      <c r="B405" s="8"/>
      <c r="C405" s="8"/>
      <c r="D405" s="8"/>
      <c r="E405" s="13"/>
    </row>
    <row r="406" spans="1:5" x14ac:dyDescent="0.25">
      <c r="A406" s="12"/>
      <c r="B406" s="8"/>
      <c r="C406" s="8"/>
      <c r="D406" s="8"/>
      <c r="E406" s="13"/>
    </row>
    <row r="407" spans="1:5" x14ac:dyDescent="0.25">
      <c r="A407" s="12"/>
      <c r="B407" s="8"/>
      <c r="C407" s="8"/>
      <c r="D407" s="8"/>
      <c r="E407" s="13"/>
    </row>
    <row r="408" spans="1:5" x14ac:dyDescent="0.25">
      <c r="A408" s="12"/>
      <c r="B408" s="8"/>
      <c r="C408" s="8"/>
      <c r="D408" s="8"/>
      <c r="E408" s="13"/>
    </row>
    <row r="409" spans="1:5" x14ac:dyDescent="0.25">
      <c r="A409" s="12"/>
      <c r="B409" s="8"/>
      <c r="C409" s="8"/>
      <c r="D409" s="8"/>
      <c r="E409" s="13"/>
    </row>
    <row r="410" spans="1:5" x14ac:dyDescent="0.25">
      <c r="A410" s="12"/>
      <c r="B410" s="8"/>
      <c r="C410" s="8"/>
      <c r="D410" s="8"/>
      <c r="E410" s="13"/>
    </row>
    <row r="411" spans="1:5" x14ac:dyDescent="0.25">
      <c r="A411" s="12"/>
      <c r="B411" s="8"/>
      <c r="C411" s="8"/>
      <c r="D411" s="8"/>
      <c r="E411" s="13"/>
    </row>
    <row r="412" spans="1:5" x14ac:dyDescent="0.25">
      <c r="A412" s="12"/>
      <c r="B412" s="8"/>
      <c r="C412" s="8"/>
      <c r="D412" s="8"/>
      <c r="E412" s="13"/>
    </row>
    <row r="413" spans="1:5" x14ac:dyDescent="0.25">
      <c r="A413" s="12"/>
      <c r="B413" s="8"/>
      <c r="C413" s="8"/>
      <c r="D413" s="8"/>
      <c r="E413" s="13"/>
    </row>
    <row r="414" spans="1:5" x14ac:dyDescent="0.25">
      <c r="A414" s="12"/>
      <c r="B414" s="8"/>
      <c r="C414" s="8"/>
      <c r="D414" s="8"/>
      <c r="E414" s="13"/>
    </row>
    <row r="415" spans="1:5" x14ac:dyDescent="0.25">
      <c r="A415" s="12"/>
      <c r="B415" s="8"/>
      <c r="C415" s="8"/>
      <c r="D415" s="8"/>
      <c r="E415" s="13"/>
    </row>
    <row r="416" spans="1:5" x14ac:dyDescent="0.25">
      <c r="A416" s="12"/>
      <c r="B416" s="8"/>
      <c r="C416" s="8"/>
      <c r="D416" s="8"/>
      <c r="E416" s="13"/>
    </row>
    <row r="417" spans="1:5" x14ac:dyDescent="0.25">
      <c r="A417" s="12"/>
      <c r="B417" s="8"/>
      <c r="C417" s="8"/>
      <c r="D417" s="8"/>
      <c r="E417" s="13"/>
    </row>
    <row r="418" spans="1:5" x14ac:dyDescent="0.25">
      <c r="A418" s="12"/>
      <c r="B418" s="8"/>
      <c r="C418" s="8"/>
      <c r="D418" s="8"/>
      <c r="E418" s="13"/>
    </row>
    <row r="419" spans="1:5" x14ac:dyDescent="0.25">
      <c r="A419" s="12"/>
      <c r="B419" s="8"/>
      <c r="C419" s="8"/>
      <c r="D419" s="8"/>
      <c r="E419" s="13"/>
    </row>
    <row r="420" spans="1:5" x14ac:dyDescent="0.25">
      <c r="A420" s="12"/>
      <c r="B420" s="8"/>
      <c r="C420" s="8"/>
      <c r="D420" s="8"/>
      <c r="E420" s="13"/>
    </row>
    <row r="421" spans="1:5" x14ac:dyDescent="0.25">
      <c r="A421" s="12"/>
      <c r="B421" s="8"/>
      <c r="C421" s="8"/>
      <c r="D421" s="8"/>
      <c r="E421" s="13"/>
    </row>
    <row r="422" spans="1:5" x14ac:dyDescent="0.25">
      <c r="A422" s="12"/>
      <c r="B422" s="8"/>
      <c r="C422" s="8"/>
      <c r="D422" s="8"/>
      <c r="E422" s="13"/>
    </row>
    <row r="423" spans="1:5" x14ac:dyDescent="0.25">
      <c r="A423" s="12"/>
      <c r="B423" s="8"/>
      <c r="C423" s="8"/>
      <c r="D423" s="8"/>
      <c r="E423" s="13"/>
    </row>
    <row r="424" spans="1:5" x14ac:dyDescent="0.25">
      <c r="A424" s="12"/>
      <c r="B424" s="8"/>
      <c r="C424" s="8"/>
      <c r="D424" s="8"/>
      <c r="E424" s="13"/>
    </row>
    <row r="425" spans="1:5" x14ac:dyDescent="0.25">
      <c r="A425" s="12"/>
      <c r="B425" s="8"/>
      <c r="C425" s="8"/>
      <c r="D425" s="8"/>
      <c r="E425" s="13"/>
    </row>
    <row r="426" spans="1:5" x14ac:dyDescent="0.25">
      <c r="A426" s="12"/>
      <c r="B426" s="8"/>
      <c r="C426" s="8"/>
      <c r="D426" s="8"/>
      <c r="E426" s="13"/>
    </row>
    <row r="427" spans="1:5" x14ac:dyDescent="0.25">
      <c r="A427" s="12"/>
      <c r="B427" s="8"/>
      <c r="C427" s="8"/>
      <c r="D427" s="8"/>
      <c r="E427" s="13"/>
    </row>
    <row r="428" spans="1:5" x14ac:dyDescent="0.25">
      <c r="A428" s="12"/>
      <c r="B428" s="8"/>
      <c r="C428" s="8"/>
      <c r="D428" s="8"/>
      <c r="E428" s="13"/>
    </row>
    <row r="429" spans="1:5" x14ac:dyDescent="0.25">
      <c r="A429" s="12"/>
      <c r="B429" s="8"/>
      <c r="C429" s="8"/>
      <c r="D429" s="8"/>
      <c r="E429" s="13"/>
    </row>
    <row r="430" spans="1:5" x14ac:dyDescent="0.25">
      <c r="A430" s="12"/>
      <c r="B430" s="8"/>
      <c r="C430" s="8"/>
      <c r="D430" s="8"/>
      <c r="E430" s="13"/>
    </row>
    <row r="431" spans="1:5" x14ac:dyDescent="0.25">
      <c r="A431" s="12"/>
      <c r="B431" s="8"/>
      <c r="C431" s="8"/>
      <c r="D431" s="8"/>
      <c r="E431" s="13"/>
    </row>
    <row r="432" spans="1:5" x14ac:dyDescent="0.25">
      <c r="A432" s="12"/>
      <c r="B432" s="8"/>
      <c r="C432" s="8"/>
      <c r="D432" s="8"/>
      <c r="E432" s="13"/>
    </row>
    <row r="433" spans="1:5" x14ac:dyDescent="0.25">
      <c r="A433" s="12"/>
      <c r="B433" s="8"/>
      <c r="C433" s="8"/>
      <c r="D433" s="8"/>
      <c r="E433" s="13"/>
    </row>
    <row r="434" spans="1:5" x14ac:dyDescent="0.25">
      <c r="A434" s="12"/>
      <c r="B434" s="8"/>
      <c r="C434" s="8"/>
      <c r="D434" s="8"/>
      <c r="E434" s="13"/>
    </row>
    <row r="435" spans="1:5" x14ac:dyDescent="0.25">
      <c r="A435" s="12"/>
      <c r="B435" s="8"/>
      <c r="C435" s="8"/>
      <c r="D435" s="8"/>
      <c r="E435" s="13"/>
    </row>
    <row r="436" spans="1:5" x14ac:dyDescent="0.25">
      <c r="A436" s="12"/>
      <c r="B436" s="8"/>
      <c r="C436" s="8"/>
      <c r="D436" s="8"/>
      <c r="E436" s="13"/>
    </row>
    <row r="437" spans="1:5" x14ac:dyDescent="0.25">
      <c r="A437" s="12"/>
      <c r="B437" s="8"/>
      <c r="C437" s="8"/>
      <c r="D437" s="8"/>
      <c r="E437" s="13"/>
    </row>
    <row r="438" spans="1:5" x14ac:dyDescent="0.25">
      <c r="A438" s="12"/>
      <c r="B438" s="8"/>
      <c r="C438" s="8"/>
      <c r="D438" s="8"/>
      <c r="E438" s="13"/>
    </row>
    <row r="439" spans="1:5" x14ac:dyDescent="0.25">
      <c r="A439" s="12"/>
      <c r="B439" s="8"/>
      <c r="C439" s="8"/>
      <c r="D439" s="8"/>
      <c r="E439" s="13"/>
    </row>
    <row r="440" spans="1:5" x14ac:dyDescent="0.25">
      <c r="A440" s="12"/>
      <c r="B440" s="8"/>
      <c r="C440" s="8"/>
      <c r="D440" s="8"/>
      <c r="E440" s="13"/>
    </row>
    <row r="441" spans="1:5" x14ac:dyDescent="0.25">
      <c r="A441" s="12"/>
      <c r="B441" s="8"/>
      <c r="C441" s="8"/>
      <c r="D441" s="8"/>
      <c r="E441" s="13"/>
    </row>
    <row r="442" spans="1:5" x14ac:dyDescent="0.25">
      <c r="A442" s="12"/>
      <c r="B442" s="8"/>
      <c r="C442" s="8"/>
      <c r="D442" s="8"/>
      <c r="E442" s="13"/>
    </row>
    <row r="443" spans="1:5" x14ac:dyDescent="0.25">
      <c r="A443" s="12"/>
      <c r="B443" s="8"/>
      <c r="C443" s="8"/>
      <c r="D443" s="8"/>
      <c r="E443" s="13"/>
    </row>
    <row r="444" spans="1:5" x14ac:dyDescent="0.25">
      <c r="A444" s="12"/>
      <c r="B444" s="8"/>
      <c r="C444" s="8"/>
      <c r="D444" s="8"/>
      <c r="E444" s="13"/>
    </row>
    <row r="445" spans="1:5" x14ac:dyDescent="0.25">
      <c r="A445" s="12"/>
      <c r="B445" s="8"/>
      <c r="C445" s="8"/>
      <c r="D445" s="8"/>
      <c r="E445" s="13"/>
    </row>
    <row r="446" spans="1:5" x14ac:dyDescent="0.25">
      <c r="A446" s="12"/>
      <c r="B446" s="8"/>
      <c r="C446" s="8"/>
      <c r="D446" s="8"/>
      <c r="E446" s="13"/>
    </row>
    <row r="447" spans="1:5" x14ac:dyDescent="0.25">
      <c r="A447" s="12"/>
      <c r="B447" s="8"/>
      <c r="C447" s="8"/>
      <c r="D447" s="8"/>
      <c r="E447" s="13"/>
    </row>
    <row r="448" spans="1:5" x14ac:dyDescent="0.25">
      <c r="A448" s="12"/>
      <c r="B448" s="8"/>
      <c r="C448" s="8"/>
      <c r="D448" s="8"/>
      <c r="E448" s="13"/>
    </row>
    <row r="449" spans="1:5" x14ac:dyDescent="0.25">
      <c r="A449" s="12"/>
      <c r="B449" s="8"/>
      <c r="C449" s="8"/>
      <c r="D449" s="8"/>
      <c r="E449" s="13"/>
    </row>
    <row r="450" spans="1:5" x14ac:dyDescent="0.25">
      <c r="A450" s="12"/>
      <c r="B450" s="8"/>
      <c r="C450" s="8"/>
      <c r="D450" s="8"/>
      <c r="E450" s="13"/>
    </row>
    <row r="451" spans="1:5" x14ac:dyDescent="0.25">
      <c r="A451" s="12"/>
      <c r="B451" s="8"/>
      <c r="C451" s="8"/>
      <c r="D451" s="8"/>
      <c r="E451" s="13"/>
    </row>
    <row r="452" spans="1:5" x14ac:dyDescent="0.25">
      <c r="A452" s="12"/>
      <c r="B452" s="8"/>
      <c r="C452" s="8"/>
      <c r="D452" s="8"/>
      <c r="E452" s="13"/>
    </row>
    <row r="453" spans="1:5" x14ac:dyDescent="0.25">
      <c r="A453" s="12"/>
      <c r="B453" s="8"/>
      <c r="C453" s="8"/>
      <c r="D453" s="8"/>
      <c r="E453" s="13"/>
    </row>
    <row r="454" spans="1:5" x14ac:dyDescent="0.25">
      <c r="A454" s="12"/>
      <c r="B454" s="8"/>
      <c r="C454" s="8"/>
      <c r="D454" s="8"/>
      <c r="E454" s="13"/>
    </row>
    <row r="455" spans="1:5" x14ac:dyDescent="0.25">
      <c r="A455" s="12"/>
      <c r="B455" s="8"/>
      <c r="C455" s="8"/>
      <c r="D455" s="8"/>
      <c r="E455" s="13"/>
    </row>
    <row r="456" spans="1:5" x14ac:dyDescent="0.25">
      <c r="A456" s="12"/>
      <c r="B456" s="8"/>
      <c r="C456" s="8"/>
      <c r="D456" s="8"/>
      <c r="E456" s="13"/>
    </row>
    <row r="457" spans="1:5" x14ac:dyDescent="0.25">
      <c r="A457" s="12"/>
      <c r="B457" s="8"/>
      <c r="C457" s="8"/>
      <c r="D457" s="8"/>
      <c r="E457" s="13"/>
    </row>
    <row r="458" spans="1:5" x14ac:dyDescent="0.25">
      <c r="A458" s="12"/>
      <c r="B458" s="8"/>
      <c r="C458" s="8"/>
      <c r="D458" s="8"/>
      <c r="E458" s="13"/>
    </row>
    <row r="459" spans="1:5" x14ac:dyDescent="0.25">
      <c r="A459" s="12"/>
      <c r="B459" s="8"/>
      <c r="C459" s="8"/>
      <c r="D459" s="8"/>
      <c r="E459" s="13"/>
    </row>
    <row r="460" spans="1:5" x14ac:dyDescent="0.25">
      <c r="A460" s="12"/>
      <c r="B460" s="8"/>
      <c r="C460" s="8"/>
      <c r="D460" s="8"/>
      <c r="E460" s="13"/>
    </row>
    <row r="461" spans="1:5" x14ac:dyDescent="0.25">
      <c r="A461" s="12"/>
      <c r="B461" s="8"/>
      <c r="C461" s="8"/>
      <c r="D461" s="8"/>
      <c r="E461" s="13"/>
    </row>
    <row r="462" spans="1:5" x14ac:dyDescent="0.25">
      <c r="A462" s="12"/>
      <c r="B462" s="8"/>
      <c r="C462" s="8"/>
      <c r="D462" s="8"/>
      <c r="E462" s="13"/>
    </row>
    <row r="463" spans="1:5" x14ac:dyDescent="0.25">
      <c r="A463" s="12"/>
      <c r="B463" s="8"/>
      <c r="C463" s="8"/>
      <c r="D463" s="8"/>
      <c r="E463" s="13"/>
    </row>
    <row r="464" spans="1:5" x14ac:dyDescent="0.25">
      <c r="A464" s="12"/>
      <c r="B464" s="8"/>
      <c r="C464" s="8"/>
      <c r="D464" s="8"/>
      <c r="E464" s="13"/>
    </row>
    <row r="465" spans="1:5" x14ac:dyDescent="0.25">
      <c r="A465" s="12"/>
      <c r="B465" s="8"/>
      <c r="C465" s="8"/>
      <c r="D465" s="8"/>
      <c r="E465" s="13"/>
    </row>
    <row r="466" spans="1:5" x14ac:dyDescent="0.25">
      <c r="A466" s="12"/>
      <c r="B466" s="8"/>
      <c r="C466" s="8"/>
      <c r="D466" s="8"/>
      <c r="E466" s="13"/>
    </row>
    <row r="467" spans="1:5" x14ac:dyDescent="0.25">
      <c r="A467" s="12"/>
      <c r="B467" s="8"/>
      <c r="C467" s="8"/>
      <c r="D467" s="8"/>
      <c r="E467" s="13"/>
    </row>
    <row r="468" spans="1:5" x14ac:dyDescent="0.25">
      <c r="A468" s="12"/>
      <c r="B468" s="8"/>
      <c r="C468" s="8"/>
      <c r="D468" s="8"/>
      <c r="E468" s="13"/>
    </row>
    <row r="469" spans="1:5" x14ac:dyDescent="0.25">
      <c r="A469" s="12"/>
      <c r="B469" s="8"/>
      <c r="C469" s="8"/>
      <c r="D469" s="8"/>
      <c r="E469" s="13"/>
    </row>
    <row r="470" spans="1:5" x14ac:dyDescent="0.25">
      <c r="A470" s="12"/>
      <c r="B470" s="8"/>
      <c r="C470" s="8"/>
      <c r="D470" s="8"/>
      <c r="E470" s="13"/>
    </row>
    <row r="471" spans="1:5" x14ac:dyDescent="0.25">
      <c r="A471" s="12"/>
      <c r="B471" s="8"/>
      <c r="C471" s="8"/>
      <c r="D471" s="8"/>
      <c r="E471" s="13"/>
    </row>
    <row r="472" spans="1:5" x14ac:dyDescent="0.25">
      <c r="A472" s="12"/>
      <c r="B472" s="8"/>
      <c r="C472" s="8"/>
      <c r="D472" s="8"/>
      <c r="E472" s="13"/>
    </row>
    <row r="473" spans="1:5" x14ac:dyDescent="0.25">
      <c r="A473" s="12"/>
      <c r="B473" s="8"/>
      <c r="C473" s="8"/>
      <c r="D473" s="8"/>
      <c r="E473" s="13"/>
    </row>
    <row r="474" spans="1:5" x14ac:dyDescent="0.25">
      <c r="A474" s="12"/>
      <c r="B474" s="8"/>
      <c r="C474" s="8"/>
      <c r="D474" s="8"/>
      <c r="E474" s="13"/>
    </row>
    <row r="475" spans="1:5" x14ac:dyDescent="0.25">
      <c r="A475" s="12"/>
      <c r="B475" s="8"/>
      <c r="C475" s="8"/>
      <c r="D475" s="8"/>
      <c r="E475" s="13"/>
    </row>
    <row r="476" spans="1:5" x14ac:dyDescent="0.25">
      <c r="A476" s="12"/>
      <c r="B476" s="8"/>
      <c r="C476" s="8"/>
      <c r="D476" s="8"/>
      <c r="E476" s="13"/>
    </row>
    <row r="477" spans="1:5" x14ac:dyDescent="0.25">
      <c r="A477" s="12"/>
      <c r="B477" s="8"/>
      <c r="C477" s="8"/>
      <c r="D477" s="8"/>
      <c r="E477" s="13"/>
    </row>
    <row r="478" spans="1:5" x14ac:dyDescent="0.25">
      <c r="A478" s="12"/>
      <c r="B478" s="8"/>
      <c r="C478" s="8"/>
      <c r="D478" s="8"/>
      <c r="E478" s="13"/>
    </row>
    <row r="479" spans="1:5" x14ac:dyDescent="0.25">
      <c r="A479" s="12"/>
      <c r="B479" s="8"/>
      <c r="C479" s="8"/>
      <c r="D479" s="8"/>
      <c r="E479" s="13"/>
    </row>
    <row r="480" spans="1:5" x14ac:dyDescent="0.25">
      <c r="A480" s="12"/>
      <c r="B480" s="8"/>
      <c r="C480" s="8"/>
      <c r="D480" s="8"/>
      <c r="E480" s="13"/>
    </row>
    <row r="481" spans="1:5" x14ac:dyDescent="0.25">
      <c r="A481" s="12"/>
      <c r="B481" s="8"/>
      <c r="C481" s="8"/>
      <c r="D481" s="8"/>
      <c r="E481" s="13"/>
    </row>
    <row r="482" spans="1:5" x14ac:dyDescent="0.25">
      <c r="A482" s="12"/>
      <c r="B482" s="8"/>
      <c r="C482" s="8"/>
      <c r="D482" s="8"/>
      <c r="E482" s="13"/>
    </row>
    <row r="483" spans="1:5" x14ac:dyDescent="0.25">
      <c r="A483" s="12"/>
      <c r="B483" s="8"/>
      <c r="C483" s="8"/>
      <c r="D483" s="8"/>
      <c r="E483" s="13"/>
    </row>
    <row r="484" spans="1:5" x14ac:dyDescent="0.25">
      <c r="A484" s="12"/>
      <c r="B484" s="8"/>
      <c r="C484" s="8"/>
      <c r="D484" s="8"/>
      <c r="E484" s="13"/>
    </row>
    <row r="485" spans="1:5" x14ac:dyDescent="0.25">
      <c r="A485" s="12"/>
      <c r="B485" s="8"/>
      <c r="C485" s="8"/>
      <c r="D485" s="8"/>
      <c r="E485" s="13"/>
    </row>
    <row r="486" spans="1:5" x14ac:dyDescent="0.25">
      <c r="A486" s="12"/>
      <c r="B486" s="8"/>
      <c r="C486" s="8"/>
      <c r="D486" s="8"/>
      <c r="E486" s="13"/>
    </row>
    <row r="487" spans="1:5" x14ac:dyDescent="0.25">
      <c r="A487" s="12"/>
      <c r="B487" s="8"/>
      <c r="C487" s="8"/>
      <c r="D487" s="8"/>
      <c r="E487" s="13"/>
    </row>
    <row r="488" spans="1:5" x14ac:dyDescent="0.25">
      <c r="A488" s="12"/>
      <c r="B488" s="8"/>
      <c r="C488" s="8"/>
      <c r="D488" s="8"/>
      <c r="E488" s="13"/>
    </row>
    <row r="489" spans="1:5" x14ac:dyDescent="0.25">
      <c r="A489" s="12"/>
      <c r="B489" s="8"/>
      <c r="C489" s="8"/>
      <c r="D489" s="8"/>
      <c r="E489" s="13"/>
    </row>
    <row r="490" spans="1:5" x14ac:dyDescent="0.25">
      <c r="A490" s="12"/>
      <c r="B490" s="8"/>
      <c r="C490" s="8"/>
      <c r="D490" s="8"/>
      <c r="E490" s="13"/>
    </row>
    <row r="491" spans="1:5" x14ac:dyDescent="0.25">
      <c r="A491" s="12"/>
      <c r="B491" s="8"/>
      <c r="C491" s="8"/>
      <c r="D491" s="8"/>
      <c r="E491" s="13"/>
    </row>
    <row r="492" spans="1:5" x14ac:dyDescent="0.25">
      <c r="A492" s="12"/>
      <c r="B492" s="8"/>
      <c r="C492" s="8"/>
      <c r="D492" s="8"/>
      <c r="E492" s="13"/>
    </row>
    <row r="493" spans="1:5" x14ac:dyDescent="0.25">
      <c r="A493" s="12"/>
      <c r="B493" s="8"/>
      <c r="C493" s="8"/>
      <c r="D493" s="8"/>
      <c r="E493" s="13"/>
    </row>
    <row r="494" spans="1:5" x14ac:dyDescent="0.25">
      <c r="A494" s="12"/>
      <c r="B494" s="8"/>
      <c r="C494" s="8"/>
      <c r="D494" s="8"/>
      <c r="E494" s="13"/>
    </row>
    <row r="495" spans="1:5" x14ac:dyDescent="0.25">
      <c r="A495" s="12"/>
      <c r="B495" s="8"/>
      <c r="C495" s="8"/>
      <c r="D495" s="8"/>
      <c r="E495" s="13"/>
    </row>
    <row r="496" spans="1:5" x14ac:dyDescent="0.25">
      <c r="A496" s="12"/>
      <c r="B496" s="8"/>
      <c r="C496" s="8"/>
      <c r="D496" s="8"/>
      <c r="E496" s="13"/>
    </row>
    <row r="497" spans="1:5" x14ac:dyDescent="0.25">
      <c r="A497" s="12"/>
      <c r="B497" s="8"/>
      <c r="C497" s="8"/>
      <c r="D497" s="8"/>
      <c r="E497" s="13"/>
    </row>
    <row r="498" spans="1:5" x14ac:dyDescent="0.25">
      <c r="A498" s="12"/>
      <c r="B498" s="8"/>
      <c r="C498" s="8"/>
      <c r="D498" s="8"/>
      <c r="E498" s="13"/>
    </row>
    <row r="499" spans="1:5" x14ac:dyDescent="0.25">
      <c r="A499" s="12"/>
      <c r="B499" s="8"/>
      <c r="C499" s="8"/>
      <c r="D499" s="8"/>
      <c r="E499" s="13"/>
    </row>
    <row r="500" spans="1:5" x14ac:dyDescent="0.25">
      <c r="A500" s="12"/>
      <c r="B500" s="8"/>
      <c r="C500" s="8"/>
      <c r="D500" s="8"/>
      <c r="E500" s="13"/>
    </row>
    <row r="501" spans="1:5" x14ac:dyDescent="0.25">
      <c r="A501" s="12"/>
      <c r="B501" s="8"/>
      <c r="C501" s="8"/>
      <c r="D501" s="8"/>
      <c r="E501" s="13"/>
    </row>
    <row r="502" spans="1:5" x14ac:dyDescent="0.25">
      <c r="A502" s="12"/>
      <c r="B502" s="8"/>
      <c r="C502" s="8"/>
      <c r="D502" s="8"/>
      <c r="E502" s="13"/>
    </row>
    <row r="503" spans="1:5" x14ac:dyDescent="0.25">
      <c r="A503" s="12"/>
      <c r="B503" s="8"/>
      <c r="C503" s="8"/>
      <c r="D503" s="8"/>
      <c r="E503" s="13"/>
    </row>
    <row r="504" spans="1:5" x14ac:dyDescent="0.25">
      <c r="A504" s="12"/>
      <c r="B504" s="8"/>
      <c r="C504" s="8"/>
      <c r="D504" s="8"/>
      <c r="E504" s="13"/>
    </row>
    <row r="505" spans="1:5" x14ac:dyDescent="0.25">
      <c r="A505" s="12"/>
      <c r="B505" s="8"/>
      <c r="C505" s="8"/>
      <c r="D505" s="8"/>
      <c r="E505" s="13"/>
    </row>
    <row r="506" spans="1:5" x14ac:dyDescent="0.25">
      <c r="A506" s="12"/>
      <c r="B506" s="8"/>
      <c r="C506" s="8"/>
      <c r="D506" s="8"/>
      <c r="E506" s="13"/>
    </row>
    <row r="507" spans="1:5" x14ac:dyDescent="0.25">
      <c r="A507" s="12"/>
      <c r="B507" s="8"/>
      <c r="C507" s="8"/>
      <c r="D507" s="8"/>
      <c r="E507" s="13"/>
    </row>
    <row r="508" spans="1:5" x14ac:dyDescent="0.25">
      <c r="A508" s="12"/>
      <c r="B508" s="8"/>
      <c r="C508" s="8"/>
      <c r="D508" s="8"/>
      <c r="E508" s="13"/>
    </row>
    <row r="509" spans="1:5" x14ac:dyDescent="0.25">
      <c r="A509" s="12"/>
      <c r="B509" s="8"/>
      <c r="C509" s="8"/>
      <c r="D509" s="8"/>
      <c r="E509" s="13"/>
    </row>
    <row r="510" spans="1:5" x14ac:dyDescent="0.25">
      <c r="A510" s="12"/>
      <c r="B510" s="8"/>
      <c r="C510" s="8"/>
      <c r="D510" s="8"/>
      <c r="E510" s="13"/>
    </row>
    <row r="511" spans="1:5" x14ac:dyDescent="0.25">
      <c r="A511" s="12"/>
      <c r="B511" s="8"/>
      <c r="C511" s="8"/>
      <c r="D511" s="8"/>
      <c r="E511" s="13"/>
    </row>
    <row r="512" spans="1:5" x14ac:dyDescent="0.25">
      <c r="A512" s="12"/>
      <c r="B512" s="8"/>
      <c r="C512" s="8"/>
      <c r="D512" s="8"/>
      <c r="E512" s="13"/>
    </row>
    <row r="513" spans="1:5" x14ac:dyDescent="0.25">
      <c r="A513" s="12"/>
      <c r="B513" s="8"/>
      <c r="C513" s="8"/>
      <c r="D513" s="8"/>
      <c r="E513" s="13"/>
    </row>
    <row r="514" spans="1:5" x14ac:dyDescent="0.25">
      <c r="A514" s="12"/>
      <c r="B514" s="8"/>
      <c r="C514" s="8"/>
      <c r="D514" s="8"/>
      <c r="E514" s="13"/>
    </row>
    <row r="515" spans="1:5" x14ac:dyDescent="0.25">
      <c r="A515" s="12"/>
      <c r="B515" s="8"/>
      <c r="C515" s="8"/>
      <c r="D515" s="8"/>
      <c r="E515" s="13"/>
    </row>
    <row r="516" spans="1:5" x14ac:dyDescent="0.25">
      <c r="A516" s="12"/>
      <c r="B516" s="8"/>
      <c r="C516" s="8"/>
      <c r="D516" s="8"/>
      <c r="E516" s="13"/>
    </row>
    <row r="517" spans="1:5" x14ac:dyDescent="0.25">
      <c r="A517" s="12"/>
      <c r="B517" s="8"/>
      <c r="C517" s="8"/>
      <c r="D517" s="8"/>
      <c r="E517" s="13"/>
    </row>
    <row r="518" spans="1:5" x14ac:dyDescent="0.25">
      <c r="A518" s="12"/>
      <c r="B518" s="8"/>
      <c r="C518" s="8"/>
      <c r="D518" s="8"/>
      <c r="E518" s="13"/>
    </row>
    <row r="519" spans="1:5" x14ac:dyDescent="0.25">
      <c r="A519" s="12"/>
      <c r="B519" s="8"/>
      <c r="C519" s="8"/>
      <c r="D519" s="8"/>
      <c r="E519" s="13"/>
    </row>
    <row r="520" spans="1:5" x14ac:dyDescent="0.25">
      <c r="A520" s="12"/>
      <c r="B520" s="8"/>
      <c r="C520" s="8"/>
      <c r="D520" s="8"/>
      <c r="E520" s="13"/>
    </row>
    <row r="521" spans="1:5" x14ac:dyDescent="0.25">
      <c r="A521" s="12"/>
      <c r="B521" s="8"/>
      <c r="C521" s="8"/>
      <c r="D521" s="8"/>
      <c r="E521" s="13"/>
    </row>
    <row r="522" spans="1:5" x14ac:dyDescent="0.25">
      <c r="A522" s="12"/>
      <c r="B522" s="8"/>
      <c r="C522" s="8"/>
      <c r="D522" s="8"/>
      <c r="E522" s="13"/>
    </row>
    <row r="523" spans="1:5" x14ac:dyDescent="0.25">
      <c r="A523" s="12"/>
      <c r="B523" s="8"/>
      <c r="C523" s="8"/>
      <c r="D523" s="8"/>
      <c r="E523" s="13"/>
    </row>
    <row r="524" spans="1:5" x14ac:dyDescent="0.25">
      <c r="A524" s="12"/>
      <c r="B524" s="8"/>
      <c r="C524" s="8"/>
      <c r="D524" s="8"/>
      <c r="E524" s="13"/>
    </row>
    <row r="525" spans="1:5" x14ac:dyDescent="0.25">
      <c r="A525" s="12"/>
      <c r="B525" s="8"/>
      <c r="C525" s="8"/>
      <c r="D525" s="8"/>
      <c r="E525" s="13"/>
    </row>
    <row r="526" spans="1:5" x14ac:dyDescent="0.25">
      <c r="A526" s="12"/>
      <c r="B526" s="8"/>
      <c r="C526" s="8"/>
      <c r="D526" s="8"/>
      <c r="E526" s="13"/>
    </row>
    <row r="527" spans="1:5" x14ac:dyDescent="0.25">
      <c r="A527" s="12"/>
      <c r="B527" s="8"/>
      <c r="C527" s="8"/>
      <c r="D527" s="8"/>
      <c r="E527" s="13"/>
    </row>
    <row r="528" spans="1:5" x14ac:dyDescent="0.25">
      <c r="A528" s="12"/>
      <c r="B528" s="8"/>
      <c r="C528" s="8"/>
      <c r="D528" s="8"/>
      <c r="E528" s="13"/>
    </row>
    <row r="529" spans="1:5" x14ac:dyDescent="0.25">
      <c r="A529" s="12"/>
      <c r="B529" s="8"/>
      <c r="C529" s="8"/>
      <c r="D529" s="8"/>
      <c r="E529" s="13"/>
    </row>
    <row r="530" spans="1:5" x14ac:dyDescent="0.25">
      <c r="A530" s="12"/>
      <c r="B530" s="8"/>
      <c r="C530" s="8"/>
      <c r="D530" s="8"/>
      <c r="E530" s="13"/>
    </row>
    <row r="531" spans="1:5" x14ac:dyDescent="0.25">
      <c r="A531" s="12"/>
      <c r="B531" s="8"/>
      <c r="C531" s="8"/>
      <c r="D531" s="8"/>
      <c r="E531" s="13"/>
    </row>
    <row r="532" spans="1:5" x14ac:dyDescent="0.25">
      <c r="A532" s="12"/>
      <c r="B532" s="8"/>
      <c r="C532" s="8"/>
      <c r="D532" s="8"/>
      <c r="E532" s="13"/>
    </row>
    <row r="533" spans="1:5" x14ac:dyDescent="0.25">
      <c r="A533" s="12"/>
      <c r="B533" s="8"/>
      <c r="C533" s="8"/>
      <c r="D533" s="8"/>
      <c r="E533" s="13"/>
    </row>
    <row r="534" spans="1:5" x14ac:dyDescent="0.25">
      <c r="A534" s="12"/>
      <c r="B534" s="8"/>
      <c r="C534" s="8"/>
      <c r="D534" s="8"/>
      <c r="E534" s="13"/>
    </row>
    <row r="535" spans="1:5" x14ac:dyDescent="0.25">
      <c r="A535" s="12"/>
      <c r="B535" s="8"/>
      <c r="C535" s="8"/>
      <c r="D535" s="8"/>
      <c r="E535" s="13"/>
    </row>
    <row r="536" spans="1:5" x14ac:dyDescent="0.25">
      <c r="A536" s="12"/>
      <c r="B536" s="8"/>
      <c r="C536" s="8"/>
      <c r="D536" s="8"/>
      <c r="E536" s="13"/>
    </row>
    <row r="537" spans="1:5" x14ac:dyDescent="0.25">
      <c r="A537" s="12"/>
      <c r="B537" s="8"/>
      <c r="C537" s="8"/>
      <c r="D537" s="8"/>
      <c r="E537" s="13"/>
    </row>
    <row r="538" spans="1:5" x14ac:dyDescent="0.25">
      <c r="A538" s="12"/>
      <c r="B538" s="8"/>
      <c r="C538" s="8"/>
      <c r="D538" s="8"/>
      <c r="E538" s="13"/>
    </row>
    <row r="539" spans="1:5" x14ac:dyDescent="0.25">
      <c r="A539" s="12"/>
      <c r="B539" s="8"/>
      <c r="C539" s="8"/>
      <c r="D539" s="8"/>
      <c r="E539" s="13"/>
    </row>
    <row r="540" spans="1:5" x14ac:dyDescent="0.25">
      <c r="A540" s="12"/>
      <c r="B540" s="8"/>
      <c r="C540" s="8"/>
      <c r="D540" s="8"/>
      <c r="E540" s="13"/>
    </row>
    <row r="541" spans="1:5" x14ac:dyDescent="0.25">
      <c r="A541" s="12"/>
      <c r="B541" s="8"/>
      <c r="C541" s="8"/>
      <c r="D541" s="8"/>
      <c r="E541" s="13"/>
    </row>
    <row r="542" spans="1:5" x14ac:dyDescent="0.25">
      <c r="A542" s="12"/>
      <c r="B542" s="8"/>
      <c r="C542" s="8"/>
      <c r="D542" s="8"/>
      <c r="E542" s="13"/>
    </row>
    <row r="543" spans="1:5" x14ac:dyDescent="0.25">
      <c r="A543" s="12"/>
      <c r="B543" s="8"/>
      <c r="C543" s="8"/>
      <c r="D543" s="8"/>
      <c r="E543" s="13"/>
    </row>
    <row r="544" spans="1:5" x14ac:dyDescent="0.25">
      <c r="A544" s="12"/>
      <c r="B544" s="8"/>
      <c r="C544" s="8"/>
      <c r="D544" s="8"/>
      <c r="E544" s="13"/>
    </row>
    <row r="545" spans="1:5" x14ac:dyDescent="0.25">
      <c r="A545" s="12"/>
      <c r="B545" s="8"/>
      <c r="C545" s="8"/>
      <c r="D545" s="8"/>
      <c r="E545" s="13"/>
    </row>
    <row r="546" spans="1:5" x14ac:dyDescent="0.25">
      <c r="A546" s="12"/>
      <c r="B546" s="8"/>
      <c r="C546" s="8"/>
      <c r="D546" s="8"/>
      <c r="E546" s="13"/>
    </row>
    <row r="547" spans="1:5" x14ac:dyDescent="0.25">
      <c r="A547" s="12"/>
      <c r="B547" s="8"/>
      <c r="C547" s="8"/>
      <c r="D547" s="8"/>
      <c r="E547" s="13"/>
    </row>
    <row r="548" spans="1:5" x14ac:dyDescent="0.25">
      <c r="A548" s="12"/>
      <c r="B548" s="8"/>
      <c r="C548" s="8"/>
      <c r="D548" s="8"/>
      <c r="E548" s="13"/>
    </row>
    <row r="549" spans="1:5" x14ac:dyDescent="0.25">
      <c r="A549" s="12"/>
      <c r="B549" s="8"/>
      <c r="C549" s="8"/>
      <c r="D549" s="8"/>
      <c r="E549" s="13"/>
    </row>
    <row r="550" spans="1:5" x14ac:dyDescent="0.25">
      <c r="A550" s="12"/>
      <c r="B550" s="8"/>
      <c r="C550" s="8"/>
      <c r="D550" s="8"/>
      <c r="E550" s="13"/>
    </row>
    <row r="551" spans="1:5" x14ac:dyDescent="0.25">
      <c r="A551" s="12"/>
      <c r="B551" s="8"/>
      <c r="C551" s="8"/>
      <c r="D551" s="8"/>
      <c r="E551" s="13"/>
    </row>
    <row r="552" spans="1:5" x14ac:dyDescent="0.25">
      <c r="A552" s="12"/>
      <c r="B552" s="8"/>
      <c r="C552" s="8"/>
      <c r="D552" s="8"/>
      <c r="E552" s="13"/>
    </row>
    <row r="553" spans="1:5" x14ac:dyDescent="0.25">
      <c r="A553" s="12"/>
      <c r="B553" s="8"/>
      <c r="C553" s="8"/>
      <c r="D553" s="8"/>
      <c r="E553" s="13"/>
    </row>
    <row r="554" spans="1:5" x14ac:dyDescent="0.25">
      <c r="A554" s="12"/>
      <c r="B554" s="8"/>
      <c r="C554" s="8"/>
      <c r="D554" s="8"/>
      <c r="E554" s="13"/>
    </row>
    <row r="555" spans="1:5" x14ac:dyDescent="0.25">
      <c r="A555" s="12"/>
      <c r="B555" s="8"/>
      <c r="C555" s="8"/>
      <c r="D555" s="8"/>
      <c r="E555" s="13"/>
    </row>
    <row r="556" spans="1:5" x14ac:dyDescent="0.25">
      <c r="A556" s="12"/>
      <c r="B556" s="8"/>
      <c r="C556" s="8"/>
      <c r="D556" s="8"/>
      <c r="E556" s="13"/>
    </row>
    <row r="557" spans="1:5" x14ac:dyDescent="0.25">
      <c r="A557" s="12"/>
      <c r="B557" s="8"/>
      <c r="C557" s="8"/>
      <c r="D557" s="8"/>
      <c r="E557" s="13"/>
    </row>
    <row r="558" spans="1:5" x14ac:dyDescent="0.25">
      <c r="A558" s="12"/>
      <c r="B558" s="8"/>
      <c r="C558" s="8"/>
      <c r="D558" s="8"/>
      <c r="E558" s="13"/>
    </row>
    <row r="559" spans="1:5" x14ac:dyDescent="0.25">
      <c r="A559" s="12"/>
      <c r="B559" s="8"/>
      <c r="C559" s="8"/>
      <c r="D559" s="8"/>
      <c r="E559" s="13"/>
    </row>
    <row r="560" spans="1:5" x14ac:dyDescent="0.25">
      <c r="A560" s="12"/>
      <c r="B560" s="8"/>
      <c r="C560" s="8"/>
      <c r="D560" s="8"/>
      <c r="E560" s="13"/>
    </row>
    <row r="561" spans="1:5" x14ac:dyDescent="0.25">
      <c r="A561" s="12"/>
      <c r="B561" s="8"/>
      <c r="C561" s="8"/>
      <c r="D561" s="8"/>
      <c r="E561" s="13"/>
    </row>
    <row r="562" spans="1:5" x14ac:dyDescent="0.25">
      <c r="A562" s="12"/>
      <c r="B562" s="8"/>
      <c r="C562" s="8"/>
      <c r="D562" s="8"/>
      <c r="E562" s="13"/>
    </row>
    <row r="563" spans="1:5" x14ac:dyDescent="0.25">
      <c r="A563" s="12"/>
      <c r="B563" s="8"/>
      <c r="C563" s="8"/>
      <c r="D563" s="8"/>
      <c r="E563" s="13"/>
    </row>
    <row r="564" spans="1:5" x14ac:dyDescent="0.25">
      <c r="A564" s="12"/>
      <c r="B564" s="8"/>
      <c r="C564" s="8"/>
      <c r="D564" s="8"/>
      <c r="E564" s="13"/>
    </row>
    <row r="565" spans="1:5" x14ac:dyDescent="0.25">
      <c r="A565" s="12"/>
      <c r="B565" s="8"/>
      <c r="C565" s="8"/>
      <c r="D565" s="8"/>
      <c r="E565" s="13"/>
    </row>
    <row r="566" spans="1:5" x14ac:dyDescent="0.25">
      <c r="A566" s="12"/>
      <c r="B566" s="8"/>
      <c r="C566" s="8"/>
      <c r="D566" s="8"/>
      <c r="E566" s="13"/>
    </row>
    <row r="567" spans="1:5" x14ac:dyDescent="0.25">
      <c r="A567" s="12"/>
      <c r="B567" s="8"/>
      <c r="C567" s="8"/>
      <c r="D567" s="8"/>
      <c r="E567" s="13"/>
    </row>
    <row r="568" spans="1:5" x14ac:dyDescent="0.25">
      <c r="A568" s="12"/>
      <c r="B568" s="8"/>
      <c r="C568" s="8"/>
      <c r="D568" s="8"/>
      <c r="E568" s="13"/>
    </row>
    <row r="569" spans="1:5" x14ac:dyDescent="0.25">
      <c r="A569" s="12"/>
      <c r="B569" s="8"/>
      <c r="C569" s="8"/>
      <c r="D569" s="8"/>
      <c r="E569" s="13"/>
    </row>
    <row r="570" spans="1:5" x14ac:dyDescent="0.25">
      <c r="A570" s="12"/>
      <c r="B570" s="8"/>
      <c r="C570" s="8"/>
      <c r="D570" s="8"/>
      <c r="E570" s="13"/>
    </row>
    <row r="571" spans="1:5" x14ac:dyDescent="0.25">
      <c r="A571" s="12"/>
      <c r="B571" s="8"/>
      <c r="C571" s="8"/>
      <c r="D571" s="8"/>
      <c r="E571" s="13"/>
    </row>
    <row r="572" spans="1:5" x14ac:dyDescent="0.25">
      <c r="A572" s="12"/>
      <c r="B572" s="8"/>
      <c r="C572" s="8"/>
      <c r="D572" s="8"/>
      <c r="E572" s="13"/>
    </row>
    <row r="573" spans="1:5" x14ac:dyDescent="0.25">
      <c r="A573" s="12"/>
      <c r="B573" s="8"/>
      <c r="C573" s="8"/>
      <c r="D573" s="8"/>
      <c r="E573" s="13"/>
    </row>
    <row r="574" spans="1:5" x14ac:dyDescent="0.25">
      <c r="A574" s="12"/>
      <c r="B574" s="8"/>
      <c r="C574" s="8"/>
      <c r="D574" s="8"/>
      <c r="E574" s="13"/>
    </row>
    <row r="575" spans="1:5" x14ac:dyDescent="0.25">
      <c r="A575" s="12"/>
      <c r="B575" s="8"/>
      <c r="C575" s="8"/>
      <c r="D575" s="8"/>
      <c r="E575" s="13"/>
    </row>
    <row r="576" spans="1:5" x14ac:dyDescent="0.25">
      <c r="A576" s="12"/>
      <c r="B576" s="8"/>
      <c r="C576" s="8"/>
      <c r="D576" s="8"/>
      <c r="E576" s="13"/>
    </row>
    <row r="577" spans="1:5" x14ac:dyDescent="0.25">
      <c r="A577" s="12"/>
      <c r="B577" s="8"/>
      <c r="C577" s="8"/>
      <c r="D577" s="8"/>
      <c r="E577" s="13"/>
    </row>
    <row r="578" spans="1:5" x14ac:dyDescent="0.25">
      <c r="A578" s="12"/>
      <c r="B578" s="8"/>
      <c r="C578" s="8"/>
      <c r="D578" s="8"/>
      <c r="E578" s="13"/>
    </row>
    <row r="579" spans="1:5" x14ac:dyDescent="0.25">
      <c r="A579" s="12"/>
      <c r="B579" s="8"/>
      <c r="C579" s="8"/>
      <c r="D579" s="8"/>
      <c r="E579" s="13"/>
    </row>
    <row r="580" spans="1:5" x14ac:dyDescent="0.25">
      <c r="A580" s="12"/>
      <c r="B580" s="8"/>
      <c r="C580" s="8"/>
      <c r="D580" s="8"/>
      <c r="E580" s="13"/>
    </row>
    <row r="581" spans="1:5" x14ac:dyDescent="0.25">
      <c r="A581" s="12"/>
      <c r="B581" s="8"/>
      <c r="C581" s="8"/>
      <c r="D581" s="8"/>
      <c r="E581" s="13"/>
    </row>
    <row r="582" spans="1:5" x14ac:dyDescent="0.25">
      <c r="A582" s="12"/>
      <c r="B582" s="8"/>
      <c r="C582" s="8"/>
      <c r="D582" s="8"/>
      <c r="E582" s="13"/>
    </row>
    <row r="583" spans="1:5" x14ac:dyDescent="0.25">
      <c r="A583" s="12"/>
      <c r="B583" s="8"/>
      <c r="C583" s="8"/>
      <c r="D583" s="8"/>
      <c r="E583" s="13"/>
    </row>
    <row r="584" spans="1:5" x14ac:dyDescent="0.25">
      <c r="A584" s="12"/>
      <c r="B584" s="8"/>
      <c r="C584" s="8"/>
      <c r="D584" s="8"/>
      <c r="E584" s="13"/>
    </row>
    <row r="585" spans="1:5" x14ac:dyDescent="0.25">
      <c r="A585" s="12"/>
      <c r="B585" s="8"/>
      <c r="C585" s="8"/>
      <c r="D585" s="8"/>
      <c r="E585" s="13"/>
    </row>
    <row r="586" spans="1:5" x14ac:dyDescent="0.25">
      <c r="A586" s="12"/>
      <c r="B586" s="8"/>
      <c r="C586" s="8"/>
      <c r="D586" s="8"/>
      <c r="E586" s="13"/>
    </row>
    <row r="587" spans="1:5" x14ac:dyDescent="0.25">
      <c r="A587" s="12"/>
      <c r="B587" s="8"/>
      <c r="C587" s="8"/>
      <c r="D587" s="8"/>
      <c r="E587" s="13"/>
    </row>
    <row r="588" spans="1:5" x14ac:dyDescent="0.25">
      <c r="A588" s="12"/>
      <c r="B588" s="8"/>
      <c r="C588" s="8"/>
      <c r="D588" s="8"/>
      <c r="E588" s="13"/>
    </row>
    <row r="589" spans="1:5" x14ac:dyDescent="0.25">
      <c r="A589" s="12"/>
      <c r="B589" s="8"/>
      <c r="C589" s="8"/>
      <c r="D589" s="8"/>
      <c r="E589" s="13"/>
    </row>
    <row r="590" spans="1:5" x14ac:dyDescent="0.25">
      <c r="A590" s="12"/>
      <c r="B590" s="8"/>
      <c r="C590" s="8"/>
      <c r="D590" s="8"/>
      <c r="E590" s="13"/>
    </row>
    <row r="591" spans="1:5" x14ac:dyDescent="0.25">
      <c r="A591" s="12"/>
      <c r="B591" s="8"/>
      <c r="C591" s="8"/>
      <c r="D591" s="8"/>
      <c r="E591" s="13"/>
    </row>
    <row r="592" spans="1:5" x14ac:dyDescent="0.25">
      <c r="A592" s="12"/>
      <c r="B592" s="8"/>
      <c r="C592" s="8"/>
      <c r="D592" s="8"/>
      <c r="E592" s="13"/>
    </row>
    <row r="593" spans="1:5" x14ac:dyDescent="0.25">
      <c r="A593" s="12"/>
      <c r="B593" s="8"/>
      <c r="C593" s="8"/>
      <c r="D593" s="8"/>
      <c r="E593" s="13"/>
    </row>
    <row r="594" spans="1:5" x14ac:dyDescent="0.25">
      <c r="A594" s="12"/>
      <c r="B594" s="8"/>
      <c r="C594" s="8"/>
      <c r="D594" s="8"/>
      <c r="E594" s="13"/>
    </row>
    <row r="595" spans="1:5" x14ac:dyDescent="0.25">
      <c r="A595" s="12"/>
      <c r="B595" s="8"/>
      <c r="C595" s="8"/>
      <c r="D595" s="8"/>
      <c r="E595" s="13"/>
    </row>
    <row r="596" spans="1:5" x14ac:dyDescent="0.25">
      <c r="A596" s="12"/>
      <c r="B596" s="8"/>
      <c r="C596" s="8"/>
      <c r="D596" s="8"/>
      <c r="E596" s="13"/>
    </row>
    <row r="597" spans="1:5" x14ac:dyDescent="0.25">
      <c r="A597" s="12"/>
      <c r="B597" s="8"/>
      <c r="C597" s="8"/>
      <c r="D597" s="8"/>
      <c r="E597" s="13"/>
    </row>
    <row r="598" spans="1:5" x14ac:dyDescent="0.25">
      <c r="A598" s="12"/>
      <c r="B598" s="8"/>
      <c r="C598" s="8"/>
      <c r="D598" s="8"/>
      <c r="E598" s="13"/>
    </row>
    <row r="599" spans="1:5" x14ac:dyDescent="0.25">
      <c r="A599" s="12"/>
      <c r="B599" s="8"/>
      <c r="C599" s="8"/>
      <c r="D599" s="8"/>
      <c r="E599" s="13"/>
    </row>
    <row r="600" spans="1:5" x14ac:dyDescent="0.25">
      <c r="A600" s="12"/>
      <c r="B600" s="8"/>
      <c r="C600" s="8"/>
      <c r="D600" s="8"/>
      <c r="E600" s="13"/>
    </row>
    <row r="601" spans="1:5" x14ac:dyDescent="0.25">
      <c r="A601" s="12"/>
      <c r="B601" s="8"/>
      <c r="C601" s="8"/>
      <c r="D601" s="8"/>
      <c r="E601" s="13"/>
    </row>
    <row r="602" spans="1:5" x14ac:dyDescent="0.25">
      <c r="A602" s="12"/>
      <c r="B602" s="8"/>
      <c r="C602" s="8"/>
      <c r="D602" s="8"/>
      <c r="E602" s="13"/>
    </row>
    <row r="603" spans="1:5" x14ac:dyDescent="0.25">
      <c r="A603" s="12"/>
      <c r="B603" s="8"/>
      <c r="C603" s="8"/>
      <c r="D603" s="8"/>
      <c r="E603" s="13"/>
    </row>
    <row r="604" spans="1:5" x14ac:dyDescent="0.25">
      <c r="A604" s="12"/>
      <c r="B604" s="8"/>
      <c r="C604" s="8"/>
      <c r="D604" s="8"/>
      <c r="E604" s="13"/>
    </row>
    <row r="605" spans="1:5" x14ac:dyDescent="0.25">
      <c r="A605" s="12"/>
      <c r="B605" s="8"/>
      <c r="C605" s="8"/>
      <c r="D605" s="8"/>
      <c r="E605" s="13"/>
    </row>
    <row r="606" spans="1:5" x14ac:dyDescent="0.25">
      <c r="A606" s="12"/>
      <c r="B606" s="8"/>
      <c r="C606" s="8"/>
      <c r="D606" s="8"/>
      <c r="E606" s="13"/>
    </row>
    <row r="607" spans="1:5" x14ac:dyDescent="0.25">
      <c r="A607" s="12"/>
      <c r="B607" s="8"/>
      <c r="C607" s="8"/>
      <c r="D607" s="8"/>
      <c r="E607" s="13"/>
    </row>
    <row r="608" spans="1:5" x14ac:dyDescent="0.25">
      <c r="A608" s="12"/>
      <c r="B608" s="8"/>
      <c r="C608" s="8"/>
      <c r="D608" s="8"/>
      <c r="E608" s="13"/>
    </row>
    <row r="609" spans="1:5" x14ac:dyDescent="0.25">
      <c r="A609" s="12"/>
      <c r="B609" s="8"/>
      <c r="C609" s="8"/>
      <c r="D609" s="8"/>
      <c r="E609" s="13"/>
    </row>
    <row r="610" spans="1:5" x14ac:dyDescent="0.25">
      <c r="A610" s="12"/>
      <c r="B610" s="8"/>
      <c r="C610" s="8"/>
      <c r="D610" s="8"/>
      <c r="E610" s="13"/>
    </row>
    <row r="611" spans="1:5" x14ac:dyDescent="0.25">
      <c r="A611" s="12"/>
      <c r="B611" s="8"/>
      <c r="C611" s="8"/>
      <c r="D611" s="8"/>
      <c r="E611" s="13"/>
    </row>
    <row r="612" spans="1:5" x14ac:dyDescent="0.25">
      <c r="A612" s="12"/>
      <c r="B612" s="8"/>
      <c r="C612" s="8"/>
      <c r="D612" s="8"/>
      <c r="E612" s="13"/>
    </row>
    <row r="613" spans="1:5" x14ac:dyDescent="0.25">
      <c r="A613" s="12"/>
      <c r="B613" s="8"/>
      <c r="C613" s="8"/>
      <c r="D613" s="8"/>
      <c r="E613" s="13"/>
    </row>
    <row r="614" spans="1:5" x14ac:dyDescent="0.25">
      <c r="A614" s="12"/>
      <c r="B614" s="8"/>
      <c r="C614" s="8"/>
      <c r="D614" s="8"/>
      <c r="E614" s="13"/>
    </row>
    <row r="615" spans="1:5" x14ac:dyDescent="0.25">
      <c r="A615" s="12"/>
      <c r="B615" s="8"/>
      <c r="C615" s="8"/>
      <c r="D615" s="8"/>
      <c r="E615" s="13"/>
    </row>
    <row r="616" spans="1:5" x14ac:dyDescent="0.25">
      <c r="A616" s="12"/>
      <c r="B616" s="8"/>
      <c r="C616" s="8"/>
      <c r="D616" s="8"/>
      <c r="E616" s="13"/>
    </row>
    <row r="617" spans="1:5" x14ac:dyDescent="0.25">
      <c r="A617" s="12"/>
      <c r="B617" s="8"/>
      <c r="C617" s="8"/>
      <c r="D617" s="8"/>
      <c r="E617" s="13"/>
    </row>
    <row r="618" spans="1:5" x14ac:dyDescent="0.25">
      <c r="A618" s="12"/>
      <c r="B618" s="8"/>
      <c r="C618" s="8"/>
      <c r="D618" s="8"/>
      <c r="E618" s="13"/>
    </row>
    <row r="619" spans="1:5" x14ac:dyDescent="0.25">
      <c r="A619" s="12"/>
      <c r="B619" s="8"/>
      <c r="C619" s="8"/>
      <c r="D619" s="8"/>
      <c r="E619" s="13"/>
    </row>
    <row r="620" spans="1:5" x14ac:dyDescent="0.25">
      <c r="A620" s="12"/>
      <c r="B620" s="8"/>
      <c r="C620" s="8"/>
      <c r="D620" s="8"/>
      <c r="E620" s="13"/>
    </row>
    <row r="621" spans="1:5" x14ac:dyDescent="0.25">
      <c r="A621" s="12"/>
      <c r="B621" s="8"/>
      <c r="C621" s="8"/>
      <c r="D621" s="8"/>
      <c r="E621" s="13"/>
    </row>
    <row r="622" spans="1:5" x14ac:dyDescent="0.25">
      <c r="A622" s="12"/>
      <c r="B622" s="8"/>
      <c r="C622" s="8"/>
      <c r="D622" s="8"/>
      <c r="E622" s="13"/>
    </row>
    <row r="623" spans="1:5" x14ac:dyDescent="0.25">
      <c r="A623" s="12"/>
      <c r="B623" s="8"/>
      <c r="C623" s="8"/>
      <c r="D623" s="8"/>
      <c r="E623" s="13"/>
    </row>
    <row r="624" spans="1:5" x14ac:dyDescent="0.25">
      <c r="A624" s="12"/>
      <c r="B624" s="8"/>
      <c r="C624" s="8"/>
      <c r="D624" s="8"/>
      <c r="E624" s="13"/>
    </row>
    <row r="625" spans="1:5" x14ac:dyDescent="0.25">
      <c r="A625" s="12"/>
      <c r="B625" s="8"/>
      <c r="C625" s="8"/>
      <c r="D625" s="8"/>
      <c r="E625" s="13"/>
    </row>
    <row r="626" spans="1:5" x14ac:dyDescent="0.25">
      <c r="A626" s="12"/>
      <c r="B626" s="8"/>
      <c r="C626" s="8"/>
      <c r="D626" s="8"/>
      <c r="E626" s="13"/>
    </row>
    <row r="627" spans="1:5" x14ac:dyDescent="0.25">
      <c r="A627" s="12"/>
      <c r="B627" s="8"/>
      <c r="C627" s="8"/>
      <c r="D627" s="8"/>
      <c r="E627" s="13"/>
    </row>
    <row r="628" spans="1:5" x14ac:dyDescent="0.25">
      <c r="A628" s="12"/>
      <c r="B628" s="8"/>
      <c r="C628" s="8"/>
      <c r="D628" s="8"/>
      <c r="E628" s="13"/>
    </row>
    <row r="629" spans="1:5" x14ac:dyDescent="0.25">
      <c r="A629" s="12"/>
      <c r="B629" s="8"/>
      <c r="C629" s="8"/>
      <c r="D629" s="8"/>
      <c r="E629" s="13"/>
    </row>
    <row r="630" spans="1:5" x14ac:dyDescent="0.25">
      <c r="A630" s="12"/>
      <c r="B630" s="8"/>
      <c r="C630" s="8"/>
      <c r="D630" s="8"/>
      <c r="E630" s="13"/>
    </row>
    <row r="631" spans="1:5" x14ac:dyDescent="0.25">
      <c r="A631" s="12"/>
      <c r="B631" s="8"/>
      <c r="C631" s="8"/>
      <c r="D631" s="8"/>
      <c r="E631" s="13"/>
    </row>
    <row r="632" spans="1:5" x14ac:dyDescent="0.25">
      <c r="A632" s="12"/>
      <c r="B632" s="8"/>
      <c r="C632" s="8"/>
      <c r="D632" s="8"/>
      <c r="E632" s="13"/>
    </row>
    <row r="633" spans="1:5" x14ac:dyDescent="0.25">
      <c r="A633" s="12"/>
      <c r="B633" s="8"/>
      <c r="C633" s="8"/>
      <c r="D633" s="8"/>
      <c r="E633" s="13"/>
    </row>
    <row r="634" spans="1:5" x14ac:dyDescent="0.25">
      <c r="A634" s="12"/>
      <c r="B634" s="8"/>
      <c r="C634" s="8"/>
      <c r="D634" s="8"/>
      <c r="E634" s="13"/>
    </row>
    <row r="635" spans="1:5" x14ac:dyDescent="0.25">
      <c r="A635" s="12"/>
      <c r="B635" s="8"/>
      <c r="C635" s="8"/>
      <c r="D635" s="8"/>
      <c r="E635" s="13"/>
    </row>
    <row r="636" spans="1:5" x14ac:dyDescent="0.25">
      <c r="A636" s="12"/>
      <c r="B636" s="8"/>
      <c r="C636" s="8"/>
      <c r="D636" s="8"/>
      <c r="E636" s="13"/>
    </row>
    <row r="637" spans="1:5" x14ac:dyDescent="0.25">
      <c r="A637" s="12"/>
      <c r="B637" s="8"/>
      <c r="C637" s="8"/>
      <c r="D637" s="8"/>
      <c r="E637" s="13"/>
    </row>
    <row r="638" spans="1:5" x14ac:dyDescent="0.25">
      <c r="A638" s="12"/>
      <c r="B638" s="8"/>
      <c r="C638" s="8"/>
      <c r="D638" s="8"/>
      <c r="E638" s="13"/>
    </row>
    <row r="639" spans="1:5" x14ac:dyDescent="0.25">
      <c r="A639" s="12"/>
      <c r="B639" s="8"/>
      <c r="C639" s="8"/>
      <c r="D639" s="8"/>
      <c r="E639" s="13"/>
    </row>
    <row r="640" spans="1:5" x14ac:dyDescent="0.25">
      <c r="A640" s="12"/>
      <c r="B640" s="8"/>
      <c r="C640" s="8"/>
      <c r="D640" s="8"/>
      <c r="E640" s="13"/>
    </row>
    <row r="641" spans="1:5" x14ac:dyDescent="0.25">
      <c r="A641" s="12"/>
      <c r="B641" s="8"/>
      <c r="C641" s="8"/>
      <c r="D641" s="8"/>
      <c r="E641" s="13"/>
    </row>
    <row r="642" spans="1:5" x14ac:dyDescent="0.25">
      <c r="A642" s="12"/>
      <c r="B642" s="8"/>
      <c r="C642" s="8"/>
      <c r="D642" s="8"/>
      <c r="E642" s="13"/>
    </row>
    <row r="643" spans="1:5" x14ac:dyDescent="0.25">
      <c r="A643" s="12"/>
      <c r="B643" s="8"/>
      <c r="C643" s="8"/>
      <c r="D643" s="8"/>
      <c r="E643" s="13"/>
    </row>
    <row r="644" spans="1:5" x14ac:dyDescent="0.25">
      <c r="A644" s="12"/>
      <c r="B644" s="8"/>
      <c r="C644" s="8"/>
      <c r="D644" s="8"/>
      <c r="E644" s="13"/>
    </row>
    <row r="645" spans="1:5" x14ac:dyDescent="0.25">
      <c r="A645" s="12"/>
      <c r="B645" s="8"/>
      <c r="C645" s="8"/>
      <c r="D645" s="8"/>
      <c r="E645" s="13"/>
    </row>
    <row r="646" spans="1:5" x14ac:dyDescent="0.25">
      <c r="A646" s="12"/>
      <c r="B646" s="8"/>
      <c r="C646" s="8"/>
      <c r="D646" s="8"/>
      <c r="E646" s="13"/>
    </row>
    <row r="647" spans="1:5" x14ac:dyDescent="0.25">
      <c r="A647" s="12"/>
      <c r="B647" s="8"/>
      <c r="C647" s="8"/>
      <c r="D647" s="8"/>
      <c r="E647" s="13"/>
    </row>
    <row r="648" spans="1:5" x14ac:dyDescent="0.25">
      <c r="A648" s="12"/>
      <c r="B648" s="8"/>
      <c r="C648" s="8"/>
      <c r="D648" s="8"/>
      <c r="E648" s="13"/>
    </row>
    <row r="649" spans="1:5" x14ac:dyDescent="0.25">
      <c r="A649" s="12"/>
      <c r="B649" s="8"/>
      <c r="C649" s="8"/>
      <c r="D649" s="8"/>
      <c r="E649" s="13"/>
    </row>
    <row r="650" spans="1:5" x14ac:dyDescent="0.25">
      <c r="A650" s="12"/>
      <c r="B650" s="8"/>
      <c r="C650" s="8"/>
      <c r="D650" s="8"/>
      <c r="E650" s="13"/>
    </row>
    <row r="651" spans="1:5" x14ac:dyDescent="0.25">
      <c r="A651" s="12"/>
      <c r="B651" s="8"/>
      <c r="C651" s="8"/>
      <c r="D651" s="8"/>
      <c r="E651" s="13"/>
    </row>
    <row r="652" spans="1:5" x14ac:dyDescent="0.25">
      <c r="A652" s="12"/>
      <c r="B652" s="8"/>
      <c r="C652" s="8"/>
      <c r="D652" s="8"/>
      <c r="E652" s="13"/>
    </row>
    <row r="653" spans="1:5" x14ac:dyDescent="0.25">
      <c r="A653" s="12"/>
      <c r="B653" s="8"/>
      <c r="C653" s="8"/>
      <c r="D653" s="8"/>
      <c r="E653" s="13"/>
    </row>
    <row r="654" spans="1:5" x14ac:dyDescent="0.25">
      <c r="A654" s="12"/>
      <c r="B654" s="8"/>
      <c r="C654" s="8"/>
      <c r="D654" s="8"/>
      <c r="E654" s="13"/>
    </row>
    <row r="655" spans="1:5" x14ac:dyDescent="0.25">
      <c r="A655" s="12"/>
      <c r="B655" s="8"/>
      <c r="C655" s="8"/>
      <c r="D655" s="8"/>
      <c r="E655" s="13"/>
    </row>
    <row r="656" spans="1:5" x14ac:dyDescent="0.25">
      <c r="A656" s="12"/>
      <c r="B656" s="8"/>
      <c r="C656" s="8"/>
      <c r="D656" s="8"/>
      <c r="E656" s="13"/>
    </row>
    <row r="657" spans="1:5" x14ac:dyDescent="0.25">
      <c r="A657" s="12"/>
      <c r="B657" s="8"/>
      <c r="C657" s="8"/>
      <c r="D657" s="8"/>
      <c r="E657" s="13"/>
    </row>
    <row r="658" spans="1:5" x14ac:dyDescent="0.25">
      <c r="A658" s="12"/>
      <c r="B658" s="8"/>
      <c r="C658" s="8"/>
      <c r="D658" s="8"/>
      <c r="E658" s="13"/>
    </row>
    <row r="659" spans="1:5" x14ac:dyDescent="0.25">
      <c r="A659" s="12"/>
      <c r="B659" s="8"/>
      <c r="C659" s="8"/>
      <c r="D659" s="8"/>
      <c r="E659" s="13"/>
    </row>
    <row r="660" spans="1:5" x14ac:dyDescent="0.25">
      <c r="A660" s="12"/>
      <c r="B660" s="8"/>
      <c r="C660" s="8"/>
      <c r="D660" s="8"/>
      <c r="E660" s="13"/>
    </row>
    <row r="661" spans="1:5" x14ac:dyDescent="0.25">
      <c r="A661" s="12"/>
      <c r="B661" s="8"/>
      <c r="C661" s="8"/>
      <c r="D661" s="8"/>
      <c r="E661" s="13"/>
    </row>
    <row r="662" spans="1:5" x14ac:dyDescent="0.25">
      <c r="A662" s="12"/>
      <c r="B662" s="8"/>
      <c r="C662" s="8"/>
      <c r="D662" s="8"/>
      <c r="E662" s="13"/>
    </row>
    <row r="663" spans="1:5" x14ac:dyDescent="0.25">
      <c r="A663" s="12"/>
      <c r="B663" s="8"/>
      <c r="C663" s="8"/>
      <c r="D663" s="8"/>
      <c r="E663" s="13"/>
    </row>
    <row r="664" spans="1:5" x14ac:dyDescent="0.25">
      <c r="A664" s="12"/>
      <c r="B664" s="8"/>
      <c r="C664" s="8"/>
      <c r="D664" s="8"/>
      <c r="E664" s="13"/>
    </row>
    <row r="665" spans="1:5" x14ac:dyDescent="0.25">
      <c r="A665" s="12"/>
      <c r="B665" s="8"/>
      <c r="C665" s="8"/>
      <c r="D665" s="8"/>
      <c r="E665" s="13"/>
    </row>
    <row r="666" spans="1:5" x14ac:dyDescent="0.25">
      <c r="A666" s="12"/>
      <c r="B666" s="8"/>
      <c r="C666" s="8"/>
      <c r="D666" s="8"/>
      <c r="E666" s="13"/>
    </row>
    <row r="667" spans="1:5" x14ac:dyDescent="0.25">
      <c r="A667" s="12"/>
      <c r="B667" s="8"/>
      <c r="C667" s="8"/>
      <c r="D667" s="8"/>
      <c r="E667" s="13"/>
    </row>
    <row r="668" spans="1:5" x14ac:dyDescent="0.25">
      <c r="A668" s="12"/>
      <c r="B668" s="8"/>
      <c r="C668" s="8"/>
      <c r="D668" s="8"/>
      <c r="E668" s="13"/>
    </row>
    <row r="669" spans="1:5" x14ac:dyDescent="0.25">
      <c r="A669" s="12"/>
      <c r="B669" s="8"/>
      <c r="C669" s="8"/>
      <c r="D669" s="8"/>
      <c r="E669" s="13"/>
    </row>
    <row r="670" spans="1:5" x14ac:dyDescent="0.25">
      <c r="A670" s="12"/>
      <c r="B670" s="8"/>
      <c r="C670" s="8"/>
      <c r="D670" s="8"/>
      <c r="E670" s="13"/>
    </row>
    <row r="671" spans="1:5" x14ac:dyDescent="0.25">
      <c r="A671" s="12"/>
      <c r="B671" s="8"/>
      <c r="C671" s="8"/>
      <c r="D671" s="8"/>
      <c r="E671" s="13"/>
    </row>
    <row r="672" spans="1:5" x14ac:dyDescent="0.25">
      <c r="A672" s="12"/>
      <c r="B672" s="8"/>
      <c r="C672" s="8"/>
      <c r="D672" s="8"/>
      <c r="E672" s="13"/>
    </row>
    <row r="673" spans="1:5" x14ac:dyDescent="0.25">
      <c r="A673" s="12"/>
      <c r="B673" s="8"/>
      <c r="C673" s="8"/>
      <c r="D673" s="8"/>
      <c r="E673" s="13"/>
    </row>
    <row r="674" spans="1:5" x14ac:dyDescent="0.25">
      <c r="A674" s="12"/>
      <c r="B674" s="8"/>
      <c r="C674" s="8"/>
      <c r="D674" s="8"/>
      <c r="E674" s="13"/>
    </row>
    <row r="675" spans="1:5" x14ac:dyDescent="0.25">
      <c r="A675" s="12"/>
      <c r="B675" s="8"/>
      <c r="C675" s="8"/>
      <c r="D675" s="8"/>
      <c r="E675" s="13"/>
    </row>
    <row r="676" spans="1:5" x14ac:dyDescent="0.25">
      <c r="A676" s="12"/>
      <c r="B676" s="8"/>
      <c r="C676" s="8"/>
      <c r="D676" s="8"/>
      <c r="E676" s="13"/>
    </row>
    <row r="677" spans="1:5" x14ac:dyDescent="0.25">
      <c r="A677" s="12"/>
      <c r="B677" s="8"/>
      <c r="C677" s="8"/>
      <c r="D677" s="8"/>
      <c r="E677" s="13"/>
    </row>
    <row r="678" spans="1:5" x14ac:dyDescent="0.25">
      <c r="A678" s="12"/>
      <c r="B678" s="8"/>
      <c r="C678" s="8"/>
      <c r="D678" s="8"/>
      <c r="E678" s="13"/>
    </row>
    <row r="679" spans="1:5" x14ac:dyDescent="0.25">
      <c r="A679" s="12"/>
      <c r="B679" s="8"/>
      <c r="C679" s="8"/>
      <c r="D679" s="8"/>
      <c r="E679" s="13"/>
    </row>
    <row r="680" spans="1:5" x14ac:dyDescent="0.25">
      <c r="A680" s="12"/>
      <c r="B680" s="8"/>
      <c r="C680" s="8"/>
      <c r="D680" s="8"/>
      <c r="E680" s="13"/>
    </row>
    <row r="681" spans="1:5" x14ac:dyDescent="0.25">
      <c r="A681" s="12"/>
      <c r="B681" s="8"/>
      <c r="C681" s="8"/>
      <c r="D681" s="8"/>
      <c r="E681" s="13"/>
    </row>
    <row r="682" spans="1:5" x14ac:dyDescent="0.25">
      <c r="A682" s="12"/>
      <c r="B682" s="8"/>
      <c r="C682" s="8"/>
      <c r="D682" s="8"/>
      <c r="E682" s="13"/>
    </row>
    <row r="683" spans="1:5" x14ac:dyDescent="0.25">
      <c r="A683" s="12"/>
      <c r="B683" s="8"/>
      <c r="C683" s="8"/>
      <c r="D683" s="8"/>
      <c r="E683" s="13"/>
    </row>
    <row r="684" spans="1:5" x14ac:dyDescent="0.25">
      <c r="A684" s="12"/>
      <c r="B684" s="8"/>
      <c r="C684" s="8"/>
      <c r="D684" s="8"/>
      <c r="E684" s="13"/>
    </row>
    <row r="685" spans="1:5" x14ac:dyDescent="0.25">
      <c r="A685" s="12"/>
      <c r="B685" s="8"/>
      <c r="C685" s="8"/>
      <c r="D685" s="8"/>
      <c r="E685" s="13"/>
    </row>
    <row r="686" spans="1:5" x14ac:dyDescent="0.25">
      <c r="A686" s="12"/>
      <c r="B686" s="8"/>
      <c r="C686" s="8"/>
      <c r="D686" s="8"/>
      <c r="E686" s="13"/>
    </row>
    <row r="687" spans="1:5" x14ac:dyDescent="0.25">
      <c r="A687" s="12"/>
      <c r="B687" s="8"/>
      <c r="C687" s="8"/>
      <c r="D687" s="8"/>
      <c r="E687" s="13"/>
    </row>
    <row r="688" spans="1:5" x14ac:dyDescent="0.25">
      <c r="A688" s="12"/>
      <c r="B688" s="8"/>
      <c r="C688" s="8"/>
      <c r="D688" s="8"/>
      <c r="E688" s="13"/>
    </row>
    <row r="689" spans="1:5" x14ac:dyDescent="0.25">
      <c r="A689" s="12"/>
      <c r="B689" s="8"/>
      <c r="C689" s="8"/>
      <c r="D689" s="8"/>
      <c r="E689" s="13"/>
    </row>
    <row r="690" spans="1:5" x14ac:dyDescent="0.25">
      <c r="A690" s="12"/>
      <c r="B690" s="8"/>
      <c r="C690" s="8"/>
      <c r="D690" s="8"/>
      <c r="E690" s="13"/>
    </row>
    <row r="691" spans="1:5" x14ac:dyDescent="0.25">
      <c r="A691" s="12"/>
      <c r="B691" s="8"/>
      <c r="C691" s="8"/>
      <c r="D691" s="8"/>
      <c r="E691" s="13"/>
    </row>
    <row r="692" spans="1:5" x14ac:dyDescent="0.25">
      <c r="A692" s="12"/>
      <c r="B692" s="8"/>
      <c r="C692" s="8"/>
      <c r="D692" s="8"/>
      <c r="E692" s="13"/>
    </row>
    <row r="693" spans="1:5" x14ac:dyDescent="0.25">
      <c r="A693" s="12"/>
      <c r="B693" s="8"/>
      <c r="C693" s="8"/>
      <c r="D693" s="8"/>
      <c r="E693" s="13"/>
    </row>
    <row r="694" spans="1:5" x14ac:dyDescent="0.25">
      <c r="A694" s="12"/>
      <c r="B694" s="8"/>
      <c r="C694" s="8"/>
      <c r="D694" s="8"/>
      <c r="E694" s="13"/>
    </row>
    <row r="695" spans="1:5" x14ac:dyDescent="0.25">
      <c r="A695" s="12"/>
      <c r="B695" s="8"/>
      <c r="C695" s="8"/>
      <c r="D695" s="8"/>
      <c r="E695" s="13"/>
    </row>
    <row r="696" spans="1:5" x14ac:dyDescent="0.25">
      <c r="A696" s="12"/>
      <c r="B696" s="8"/>
      <c r="C696" s="8"/>
      <c r="D696" s="8"/>
      <c r="E696" s="13"/>
    </row>
    <row r="697" spans="1:5" x14ac:dyDescent="0.25">
      <c r="A697" s="12"/>
      <c r="B697" s="8"/>
      <c r="C697" s="8"/>
      <c r="D697" s="8"/>
      <c r="E697" s="13"/>
    </row>
    <row r="698" spans="1:5" x14ac:dyDescent="0.25">
      <c r="A698" s="12"/>
      <c r="B698" s="8"/>
      <c r="C698" s="8"/>
      <c r="D698" s="8"/>
      <c r="E698" s="13"/>
    </row>
    <row r="699" spans="1:5" x14ac:dyDescent="0.25">
      <c r="A699" s="12"/>
      <c r="B699" s="8"/>
      <c r="C699" s="8"/>
      <c r="D699" s="8"/>
      <c r="E699" s="13"/>
    </row>
    <row r="700" spans="1:5" x14ac:dyDescent="0.25">
      <c r="A700" s="12"/>
      <c r="B700" s="8"/>
      <c r="C700" s="8"/>
      <c r="D700" s="8"/>
      <c r="E700" s="13"/>
    </row>
    <row r="701" spans="1:5" x14ac:dyDescent="0.25">
      <c r="A701" s="12"/>
      <c r="B701" s="8"/>
      <c r="C701" s="8"/>
      <c r="D701" s="8"/>
      <c r="E701" s="13"/>
    </row>
    <row r="702" spans="1:5" x14ac:dyDescent="0.25">
      <c r="A702" s="12"/>
      <c r="B702" s="8"/>
      <c r="C702" s="8"/>
      <c r="D702" s="8"/>
      <c r="E702" s="13"/>
    </row>
    <row r="703" spans="1:5" x14ac:dyDescent="0.25">
      <c r="A703" s="12"/>
      <c r="B703" s="8"/>
      <c r="C703" s="8"/>
      <c r="D703" s="8"/>
      <c r="E703" s="13"/>
    </row>
    <row r="704" spans="1:5" x14ac:dyDescent="0.25">
      <c r="A704" s="12"/>
      <c r="B704" s="8"/>
      <c r="C704" s="8"/>
      <c r="D704" s="8"/>
      <c r="E704" s="13"/>
    </row>
    <row r="705" spans="1:5" x14ac:dyDescent="0.25">
      <c r="A705" s="12"/>
      <c r="B705" s="8"/>
      <c r="C705" s="8"/>
      <c r="D705" s="8"/>
      <c r="E705" s="13"/>
    </row>
    <row r="706" spans="1:5" x14ac:dyDescent="0.25">
      <c r="A706" s="12"/>
      <c r="B706" s="8"/>
      <c r="C706" s="8"/>
      <c r="D706" s="8"/>
      <c r="E706" s="13"/>
    </row>
    <row r="707" spans="1:5" x14ac:dyDescent="0.25">
      <c r="A707" s="12"/>
      <c r="B707" s="8"/>
      <c r="C707" s="8"/>
      <c r="D707" s="8"/>
      <c r="E707" s="13"/>
    </row>
    <row r="708" spans="1:5" x14ac:dyDescent="0.25">
      <c r="A708" s="12"/>
      <c r="B708" s="8"/>
      <c r="C708" s="8"/>
      <c r="D708" s="8"/>
      <c r="E708" s="13"/>
    </row>
    <row r="709" spans="1:5" x14ac:dyDescent="0.25">
      <c r="A709" s="12"/>
      <c r="B709" s="8"/>
      <c r="C709" s="8"/>
      <c r="D709" s="8"/>
      <c r="E709" s="13"/>
    </row>
    <row r="710" spans="1:5" x14ac:dyDescent="0.25">
      <c r="A710" s="12"/>
      <c r="B710" s="8"/>
      <c r="C710" s="8"/>
      <c r="D710" s="8"/>
      <c r="E710" s="13"/>
    </row>
    <row r="711" spans="1:5" x14ac:dyDescent="0.25">
      <c r="A711" s="12"/>
      <c r="B711" s="8"/>
      <c r="C711" s="8"/>
      <c r="D711" s="8"/>
      <c r="E711" s="13"/>
    </row>
    <row r="712" spans="1:5" x14ac:dyDescent="0.25">
      <c r="A712" s="12"/>
      <c r="B712" s="8"/>
      <c r="C712" s="8"/>
      <c r="D712" s="8"/>
      <c r="E712" s="13"/>
    </row>
    <row r="713" spans="1:5" x14ac:dyDescent="0.25">
      <c r="A713" s="12"/>
      <c r="B713" s="8"/>
      <c r="C713" s="8"/>
      <c r="D713" s="8"/>
      <c r="E713" s="13"/>
    </row>
    <row r="714" spans="1:5" x14ac:dyDescent="0.25">
      <c r="A714" s="12"/>
      <c r="B714" s="8"/>
      <c r="C714" s="8"/>
      <c r="D714" s="8"/>
      <c r="E714" s="13"/>
    </row>
    <row r="715" spans="1:5" x14ac:dyDescent="0.25">
      <c r="A715" s="12"/>
      <c r="B715" s="8"/>
      <c r="C715" s="8"/>
      <c r="D715" s="8"/>
      <c r="E715" s="13"/>
    </row>
    <row r="716" spans="1:5" x14ac:dyDescent="0.25">
      <c r="A716" s="12"/>
      <c r="B716" s="8"/>
      <c r="C716" s="8"/>
      <c r="D716" s="8"/>
      <c r="E716" s="13"/>
    </row>
    <row r="717" spans="1:5" x14ac:dyDescent="0.25">
      <c r="A717" s="12"/>
      <c r="B717" s="8"/>
      <c r="C717" s="8"/>
      <c r="D717" s="8"/>
      <c r="E717" s="13"/>
    </row>
    <row r="718" spans="1:5" x14ac:dyDescent="0.25">
      <c r="A718" s="12"/>
      <c r="B718" s="8"/>
      <c r="C718" s="8"/>
      <c r="D718" s="8"/>
      <c r="E718" s="13"/>
    </row>
    <row r="719" spans="1:5" x14ac:dyDescent="0.25">
      <c r="A719" s="12"/>
      <c r="B719" s="8"/>
      <c r="C719" s="8"/>
      <c r="D719" s="8"/>
      <c r="E719" s="13"/>
    </row>
    <row r="720" spans="1:5" x14ac:dyDescent="0.25">
      <c r="A720" s="12"/>
      <c r="B720" s="8"/>
      <c r="C720" s="8"/>
      <c r="D720" s="8"/>
      <c r="E720" s="13"/>
    </row>
    <row r="721" spans="1:5" x14ac:dyDescent="0.25">
      <c r="A721" s="12"/>
      <c r="B721" s="8"/>
      <c r="C721" s="8"/>
      <c r="D721" s="8"/>
      <c r="E721" s="13"/>
    </row>
    <row r="722" spans="1:5" x14ac:dyDescent="0.25">
      <c r="A722" s="12"/>
      <c r="B722" s="8"/>
      <c r="C722" s="8"/>
      <c r="D722" s="8"/>
      <c r="E722" s="13"/>
    </row>
    <row r="723" spans="1:5" x14ac:dyDescent="0.25">
      <c r="A723" s="12"/>
      <c r="B723" s="8"/>
      <c r="C723" s="8"/>
      <c r="D723" s="8"/>
      <c r="E723" s="13"/>
    </row>
    <row r="724" spans="1:5" x14ac:dyDescent="0.25">
      <c r="A724" s="12"/>
      <c r="B724" s="8"/>
      <c r="C724" s="8"/>
      <c r="D724" s="8"/>
      <c r="E724" s="13"/>
    </row>
    <row r="725" spans="1:5" x14ac:dyDescent="0.25">
      <c r="A725" s="12"/>
      <c r="B725" s="8"/>
      <c r="C725" s="8"/>
      <c r="D725" s="8"/>
      <c r="E725" s="13"/>
    </row>
    <row r="726" spans="1:5" x14ac:dyDescent="0.25">
      <c r="A726" s="12"/>
      <c r="B726" s="8"/>
      <c r="C726" s="8"/>
      <c r="D726" s="8"/>
      <c r="E726" s="13"/>
    </row>
    <row r="727" spans="1:5" x14ac:dyDescent="0.25">
      <c r="A727" s="12"/>
      <c r="B727" s="8"/>
      <c r="C727" s="8"/>
      <c r="D727" s="8"/>
      <c r="E727" s="13"/>
    </row>
    <row r="728" spans="1:5" x14ac:dyDescent="0.25">
      <c r="A728" s="12"/>
      <c r="B728" s="8"/>
      <c r="C728" s="8"/>
      <c r="D728" s="8"/>
      <c r="E728" s="13"/>
    </row>
    <row r="729" spans="1:5" x14ac:dyDescent="0.25">
      <c r="A729" s="12"/>
      <c r="B729" s="8"/>
      <c r="C729" s="8"/>
      <c r="D729" s="8"/>
      <c r="E729" s="13"/>
    </row>
    <row r="730" spans="1:5" x14ac:dyDescent="0.25">
      <c r="A730" s="12"/>
      <c r="B730" s="8"/>
      <c r="C730" s="8"/>
      <c r="D730" s="8"/>
      <c r="E730" s="13"/>
    </row>
    <row r="731" spans="1:5" x14ac:dyDescent="0.25">
      <c r="A731" s="12"/>
      <c r="B731" s="8"/>
      <c r="C731" s="8"/>
      <c r="D731" s="8"/>
      <c r="E731" s="13"/>
    </row>
    <row r="732" spans="1:5" x14ac:dyDescent="0.25">
      <c r="A732" s="12"/>
      <c r="B732" s="8"/>
      <c r="C732" s="8"/>
      <c r="D732" s="8"/>
      <c r="E732" s="13"/>
    </row>
    <row r="733" spans="1:5" x14ac:dyDescent="0.25">
      <c r="A733" s="12"/>
      <c r="B733" s="8"/>
      <c r="C733" s="8"/>
      <c r="D733" s="8"/>
      <c r="E733" s="13"/>
    </row>
    <row r="734" spans="1:5" x14ac:dyDescent="0.25">
      <c r="A734" s="12"/>
      <c r="B734" s="8"/>
      <c r="C734" s="8"/>
      <c r="D734" s="8"/>
      <c r="E734" s="13"/>
    </row>
    <row r="735" spans="1:5" x14ac:dyDescent="0.25">
      <c r="A735" s="12"/>
      <c r="B735" s="8"/>
      <c r="C735" s="8"/>
      <c r="D735" s="8"/>
      <c r="E735" s="13"/>
    </row>
    <row r="736" spans="1:5" x14ac:dyDescent="0.25">
      <c r="A736" s="12"/>
      <c r="B736" s="8"/>
      <c r="C736" s="8"/>
      <c r="D736" s="8"/>
      <c r="E736" s="13"/>
    </row>
    <row r="737" spans="1:5" x14ac:dyDescent="0.25">
      <c r="A737" s="12"/>
      <c r="B737" s="8"/>
      <c r="C737" s="8"/>
      <c r="D737" s="8"/>
      <c r="E737" s="13"/>
    </row>
    <row r="738" spans="1:5" x14ac:dyDescent="0.25">
      <c r="A738" s="12"/>
      <c r="B738" s="8"/>
      <c r="C738" s="8"/>
      <c r="D738" s="8"/>
      <c r="E738" s="13"/>
    </row>
    <row r="739" spans="1:5" x14ac:dyDescent="0.25">
      <c r="A739" s="12"/>
      <c r="B739" s="8"/>
      <c r="C739" s="8"/>
      <c r="D739" s="8"/>
      <c r="E739" s="13"/>
    </row>
    <row r="740" spans="1:5" x14ac:dyDescent="0.25">
      <c r="A740" s="12"/>
      <c r="B740" s="8"/>
      <c r="C740" s="8"/>
      <c r="D740" s="8"/>
      <c r="E740" s="13"/>
    </row>
    <row r="741" spans="1:5" x14ac:dyDescent="0.25">
      <c r="A741" s="12"/>
      <c r="B741" s="8"/>
      <c r="C741" s="8"/>
      <c r="D741" s="8"/>
      <c r="E741" s="13"/>
    </row>
    <row r="742" spans="1:5" x14ac:dyDescent="0.25">
      <c r="A742" s="12"/>
      <c r="B742" s="8"/>
      <c r="C742" s="8"/>
      <c r="D742" s="8"/>
      <c r="E742" s="13"/>
    </row>
    <row r="743" spans="1:5" x14ac:dyDescent="0.25">
      <c r="A743" s="12"/>
      <c r="B743" s="8"/>
      <c r="C743" s="8"/>
      <c r="D743" s="8"/>
      <c r="E743" s="13"/>
    </row>
    <row r="744" spans="1:5" x14ac:dyDescent="0.25">
      <c r="A744" s="12"/>
      <c r="B744" s="8"/>
      <c r="C744" s="8"/>
      <c r="D744" s="8"/>
      <c r="E744" s="13"/>
    </row>
    <row r="745" spans="1:5" x14ac:dyDescent="0.25">
      <c r="A745" s="12"/>
      <c r="B745" s="8"/>
      <c r="C745" s="8"/>
      <c r="D745" s="8"/>
      <c r="E745" s="13"/>
    </row>
    <row r="746" spans="1:5" x14ac:dyDescent="0.25">
      <c r="A746" s="12"/>
      <c r="B746" s="8"/>
      <c r="C746" s="8"/>
      <c r="D746" s="8"/>
      <c r="E746" s="13"/>
    </row>
    <row r="747" spans="1:5" x14ac:dyDescent="0.25">
      <c r="A747" s="12"/>
      <c r="B747" s="8"/>
      <c r="C747" s="8"/>
      <c r="D747" s="8"/>
      <c r="E747" s="13"/>
    </row>
    <row r="748" spans="1:5" x14ac:dyDescent="0.25">
      <c r="A748" s="12"/>
      <c r="B748" s="8"/>
      <c r="C748" s="8"/>
      <c r="D748" s="8"/>
      <c r="E748" s="13"/>
    </row>
    <row r="749" spans="1:5" x14ac:dyDescent="0.25">
      <c r="A749" s="12"/>
      <c r="B749" s="8"/>
      <c r="C749" s="8"/>
      <c r="D749" s="8"/>
      <c r="E749" s="13"/>
    </row>
    <row r="750" spans="1:5" x14ac:dyDescent="0.25">
      <c r="A750" s="12"/>
      <c r="B750" s="8"/>
      <c r="C750" s="8"/>
      <c r="D750" s="8"/>
      <c r="E750" s="13"/>
    </row>
    <row r="751" spans="1:5" x14ac:dyDescent="0.25">
      <c r="A751" s="12"/>
      <c r="B751" s="8"/>
      <c r="C751" s="8"/>
      <c r="D751" s="8"/>
      <c r="E751" s="13"/>
    </row>
    <row r="752" spans="1:5" x14ac:dyDescent="0.25">
      <c r="A752" s="12"/>
      <c r="B752" s="8"/>
      <c r="C752" s="8"/>
      <c r="D752" s="8"/>
      <c r="E752" s="13"/>
    </row>
    <row r="753" spans="1:5" x14ac:dyDescent="0.25">
      <c r="A753" s="12"/>
      <c r="B753" s="8"/>
      <c r="C753" s="8"/>
      <c r="D753" s="8"/>
      <c r="E753" s="13"/>
    </row>
    <row r="754" spans="1:5" x14ac:dyDescent="0.25">
      <c r="A754" s="12"/>
      <c r="B754" s="8"/>
      <c r="C754" s="8"/>
      <c r="D754" s="8"/>
      <c r="E754" s="13"/>
    </row>
    <row r="755" spans="1:5" x14ac:dyDescent="0.25">
      <c r="A755" s="12"/>
      <c r="B755" s="8"/>
      <c r="C755" s="8"/>
      <c r="D755" s="8"/>
      <c r="E755" s="13"/>
    </row>
    <row r="756" spans="1:5" x14ac:dyDescent="0.25">
      <c r="A756" s="12"/>
      <c r="B756" s="8"/>
      <c r="C756" s="8"/>
      <c r="D756" s="8"/>
      <c r="E756" s="13"/>
    </row>
    <row r="757" spans="1:5" x14ac:dyDescent="0.25">
      <c r="A757" s="12"/>
      <c r="B757" s="8"/>
      <c r="C757" s="8"/>
      <c r="D757" s="8"/>
      <c r="E757" s="13"/>
    </row>
    <row r="758" spans="1:5" x14ac:dyDescent="0.25">
      <c r="A758" s="12"/>
      <c r="B758" s="8"/>
      <c r="C758" s="8"/>
      <c r="D758" s="8"/>
      <c r="E758" s="13"/>
    </row>
    <row r="759" spans="1:5" x14ac:dyDescent="0.25">
      <c r="A759" s="12"/>
      <c r="B759" s="8"/>
      <c r="C759" s="8"/>
      <c r="D759" s="8"/>
      <c r="E759" s="13"/>
    </row>
    <row r="760" spans="1:5" x14ac:dyDescent="0.25">
      <c r="A760" s="12"/>
      <c r="B760" s="8"/>
      <c r="C760" s="8"/>
      <c r="D760" s="8"/>
      <c r="E760" s="13"/>
    </row>
    <row r="761" spans="1:5" x14ac:dyDescent="0.25">
      <c r="A761" s="12"/>
      <c r="B761" s="8"/>
      <c r="C761" s="8"/>
      <c r="D761" s="8"/>
      <c r="E761" s="13"/>
    </row>
    <row r="762" spans="1:5" x14ac:dyDescent="0.25">
      <c r="A762" s="12"/>
      <c r="B762" s="8"/>
      <c r="C762" s="8"/>
      <c r="D762" s="8"/>
      <c r="E762" s="13"/>
    </row>
    <row r="763" spans="1:5" x14ac:dyDescent="0.25">
      <c r="A763" s="12"/>
      <c r="B763" s="8"/>
      <c r="C763" s="8"/>
      <c r="D763" s="8"/>
      <c r="E763" s="13"/>
    </row>
    <row r="764" spans="1:5" x14ac:dyDescent="0.25">
      <c r="A764" s="12"/>
      <c r="B764" s="8"/>
      <c r="C764" s="8"/>
      <c r="D764" s="8"/>
      <c r="E764" s="13"/>
    </row>
    <row r="765" spans="1:5" x14ac:dyDescent="0.25">
      <c r="A765" s="12"/>
      <c r="B765" s="8"/>
      <c r="C765" s="8"/>
      <c r="D765" s="8"/>
      <c r="E765" s="13"/>
    </row>
    <row r="766" spans="1:5" x14ac:dyDescent="0.25">
      <c r="A766" s="12"/>
      <c r="B766" s="8"/>
      <c r="C766" s="8"/>
      <c r="D766" s="8"/>
      <c r="E766" s="13"/>
    </row>
    <row r="767" spans="1:5" x14ac:dyDescent="0.25">
      <c r="A767" s="12"/>
      <c r="B767" s="8"/>
      <c r="C767" s="8"/>
      <c r="D767" s="8"/>
      <c r="E767" s="13"/>
    </row>
    <row r="768" spans="1:5" x14ac:dyDescent="0.25">
      <c r="A768" s="12"/>
      <c r="B768" s="8"/>
      <c r="C768" s="8"/>
      <c r="D768" s="8"/>
      <c r="E768" s="13"/>
    </row>
    <row r="769" spans="1:5" x14ac:dyDescent="0.25">
      <c r="A769" s="12"/>
      <c r="B769" s="8"/>
      <c r="C769" s="8"/>
      <c r="D769" s="8"/>
      <c r="E769" s="13"/>
    </row>
    <row r="770" spans="1:5" x14ac:dyDescent="0.25">
      <c r="A770" s="12"/>
      <c r="B770" s="8"/>
      <c r="C770" s="8"/>
      <c r="D770" s="8"/>
      <c r="E770" s="13"/>
    </row>
    <row r="771" spans="1:5" x14ac:dyDescent="0.25">
      <c r="A771" s="12"/>
      <c r="B771" s="8"/>
      <c r="C771" s="8"/>
      <c r="D771" s="8"/>
      <c r="E771" s="13"/>
    </row>
    <row r="772" spans="1:5" x14ac:dyDescent="0.25">
      <c r="A772" s="12"/>
      <c r="B772" s="8"/>
      <c r="C772" s="8"/>
      <c r="D772" s="8"/>
      <c r="E772" s="13"/>
    </row>
    <row r="773" spans="1:5" x14ac:dyDescent="0.25">
      <c r="A773" s="12"/>
      <c r="B773" s="8"/>
      <c r="C773" s="8"/>
      <c r="D773" s="8"/>
      <c r="E773" s="13"/>
    </row>
    <row r="774" spans="1:5" x14ac:dyDescent="0.25">
      <c r="A774" s="12"/>
      <c r="B774" s="8"/>
      <c r="C774" s="8"/>
      <c r="D774" s="8"/>
      <c r="E774" s="13"/>
    </row>
    <row r="775" spans="1:5" x14ac:dyDescent="0.25">
      <c r="A775" s="12"/>
      <c r="B775" s="8"/>
      <c r="C775" s="8"/>
      <c r="D775" s="8"/>
      <c r="E775" s="13"/>
    </row>
    <row r="776" spans="1:5" x14ac:dyDescent="0.25">
      <c r="A776" s="12"/>
      <c r="B776" s="8"/>
      <c r="C776" s="8"/>
      <c r="D776" s="8"/>
      <c r="E776" s="13"/>
    </row>
    <row r="777" spans="1:5" x14ac:dyDescent="0.25">
      <c r="A777" s="12"/>
      <c r="B777" s="8"/>
      <c r="C777" s="8"/>
      <c r="D777" s="8"/>
      <c r="E777" s="13"/>
    </row>
    <row r="778" spans="1:5" x14ac:dyDescent="0.25">
      <c r="A778" s="12"/>
      <c r="B778" s="8"/>
      <c r="C778" s="8"/>
      <c r="D778" s="8"/>
      <c r="E778" s="13"/>
    </row>
    <row r="779" spans="1:5" x14ac:dyDescent="0.25">
      <c r="A779" s="12"/>
      <c r="B779" s="8"/>
      <c r="C779" s="8"/>
      <c r="D779" s="8"/>
      <c r="E779" s="13"/>
    </row>
    <row r="780" spans="1:5" x14ac:dyDescent="0.25">
      <c r="A780" s="12"/>
      <c r="B780" s="8"/>
      <c r="C780" s="8"/>
      <c r="D780" s="8"/>
      <c r="E780" s="13"/>
    </row>
    <row r="781" spans="1:5" x14ac:dyDescent="0.25">
      <c r="A781" s="12"/>
      <c r="B781" s="8"/>
      <c r="C781" s="8"/>
      <c r="D781" s="8"/>
      <c r="E781" s="13"/>
    </row>
    <row r="782" spans="1:5" x14ac:dyDescent="0.25">
      <c r="A782" s="12"/>
      <c r="B782" s="8"/>
      <c r="C782" s="8"/>
      <c r="D782" s="8"/>
      <c r="E782" s="13"/>
    </row>
    <row r="783" spans="1:5" x14ac:dyDescent="0.25">
      <c r="A783" s="12"/>
      <c r="B783" s="8"/>
      <c r="C783" s="8"/>
      <c r="D783" s="8"/>
      <c r="E783" s="13"/>
    </row>
    <row r="784" spans="1:5" x14ac:dyDescent="0.25">
      <c r="A784" s="12"/>
      <c r="B784" s="8"/>
      <c r="C784" s="8"/>
      <c r="D784" s="8"/>
      <c r="E784" s="13"/>
    </row>
    <row r="785" spans="1:5" x14ac:dyDescent="0.25">
      <c r="A785" s="12"/>
      <c r="B785" s="8"/>
      <c r="C785" s="8"/>
      <c r="D785" s="8"/>
      <c r="E785" s="13"/>
    </row>
    <row r="786" spans="1:5" x14ac:dyDescent="0.25">
      <c r="A786" s="12"/>
      <c r="B786" s="8"/>
      <c r="C786" s="8"/>
      <c r="D786" s="8"/>
      <c r="E786" s="13"/>
    </row>
    <row r="787" spans="1:5" x14ac:dyDescent="0.25">
      <c r="A787" s="12"/>
      <c r="B787" s="8"/>
      <c r="C787" s="8"/>
      <c r="D787" s="8"/>
      <c r="E787" s="13"/>
    </row>
    <row r="788" spans="1:5" x14ac:dyDescent="0.25">
      <c r="A788" s="12"/>
      <c r="B788" s="8"/>
      <c r="C788" s="8"/>
      <c r="D788" s="8"/>
      <c r="E788" s="13"/>
    </row>
    <row r="789" spans="1:5" x14ac:dyDescent="0.25">
      <c r="A789" s="12"/>
      <c r="B789" s="8"/>
      <c r="C789" s="8"/>
      <c r="D789" s="8"/>
      <c r="E789" s="13"/>
    </row>
    <row r="790" spans="1:5" x14ac:dyDescent="0.25">
      <c r="A790" s="12"/>
      <c r="B790" s="8"/>
      <c r="C790" s="8"/>
      <c r="D790" s="8"/>
      <c r="E790" s="13"/>
    </row>
    <row r="791" spans="1:5" x14ac:dyDescent="0.25">
      <c r="A791" s="12"/>
      <c r="B791" s="8"/>
      <c r="C791" s="8"/>
      <c r="D791" s="8"/>
      <c r="E791" s="13"/>
    </row>
    <row r="792" spans="1:5" x14ac:dyDescent="0.25">
      <c r="A792" s="12"/>
      <c r="B792" s="8"/>
      <c r="C792" s="8"/>
      <c r="D792" s="8"/>
      <c r="E792" s="13"/>
    </row>
    <row r="793" spans="1:5" x14ac:dyDescent="0.25">
      <c r="A793" s="12"/>
      <c r="B793" s="8"/>
      <c r="C793" s="8"/>
      <c r="D793" s="8"/>
      <c r="E793" s="13"/>
    </row>
    <row r="794" spans="1:5" x14ac:dyDescent="0.25">
      <c r="A794" s="12"/>
      <c r="B794" s="8"/>
      <c r="C794" s="8"/>
      <c r="D794" s="8"/>
      <c r="E794" s="13"/>
    </row>
    <row r="795" spans="1:5" x14ac:dyDescent="0.25">
      <c r="A795" s="12"/>
      <c r="B795" s="8"/>
      <c r="C795" s="8"/>
      <c r="D795" s="8"/>
      <c r="E795" s="13"/>
    </row>
    <row r="796" spans="1:5" x14ac:dyDescent="0.25">
      <c r="A796" s="12"/>
      <c r="B796" s="8"/>
      <c r="C796" s="8"/>
      <c r="D796" s="8"/>
      <c r="E796" s="13"/>
    </row>
    <row r="797" spans="1:5" x14ac:dyDescent="0.25">
      <c r="A797" s="12"/>
      <c r="B797" s="8"/>
      <c r="C797" s="8"/>
      <c r="D797" s="8"/>
      <c r="E797" s="13"/>
    </row>
    <row r="798" spans="1:5" x14ac:dyDescent="0.25">
      <c r="A798" s="12"/>
      <c r="B798" s="8"/>
      <c r="C798" s="8"/>
      <c r="D798" s="8"/>
      <c r="E798" s="13"/>
    </row>
    <row r="799" spans="1:5" x14ac:dyDescent="0.25">
      <c r="A799" s="12"/>
      <c r="B799" s="8"/>
      <c r="C799" s="8"/>
      <c r="D799" s="8"/>
      <c r="E799" s="13"/>
    </row>
    <row r="800" spans="1:5" x14ac:dyDescent="0.25">
      <c r="A800" s="12"/>
      <c r="B800" s="8"/>
      <c r="C800" s="8"/>
      <c r="D800" s="8"/>
      <c r="E800" s="13"/>
    </row>
    <row r="801" spans="1:5" x14ac:dyDescent="0.25">
      <c r="A801" s="12"/>
      <c r="B801" s="8"/>
      <c r="C801" s="8"/>
      <c r="D801" s="8"/>
      <c r="E801" s="13"/>
    </row>
    <row r="802" spans="1:5" x14ac:dyDescent="0.25">
      <c r="A802" s="12"/>
      <c r="B802" s="8"/>
      <c r="C802" s="8"/>
      <c r="D802" s="8"/>
      <c r="E802" s="13"/>
    </row>
    <row r="803" spans="1:5" x14ac:dyDescent="0.25">
      <c r="A803" s="12"/>
      <c r="B803" s="8"/>
      <c r="C803" s="8"/>
      <c r="D803" s="8"/>
      <c r="E803" s="13"/>
    </row>
    <row r="804" spans="1:5" x14ac:dyDescent="0.25">
      <c r="A804" s="12"/>
      <c r="B804" s="8"/>
      <c r="C804" s="8"/>
      <c r="D804" s="8"/>
      <c r="E804" s="13"/>
    </row>
    <row r="805" spans="1:5" x14ac:dyDescent="0.25">
      <c r="A805" s="12"/>
      <c r="B805" s="8"/>
      <c r="C805" s="8"/>
      <c r="D805" s="8"/>
      <c r="E805" s="13"/>
    </row>
    <row r="806" spans="1:5" x14ac:dyDescent="0.25">
      <c r="A806" s="12"/>
      <c r="B806" s="8"/>
      <c r="C806" s="8"/>
      <c r="D806" s="8"/>
      <c r="E806" s="13"/>
    </row>
    <row r="807" spans="1:5" x14ac:dyDescent="0.25">
      <c r="A807" s="12"/>
      <c r="B807" s="8"/>
      <c r="C807" s="8"/>
      <c r="D807" s="8"/>
      <c r="E807" s="13"/>
    </row>
    <row r="808" spans="1:5" x14ac:dyDescent="0.25">
      <c r="A808" s="12"/>
      <c r="B808" s="8"/>
      <c r="C808" s="8"/>
      <c r="D808" s="8"/>
      <c r="E808" s="13"/>
    </row>
    <row r="809" spans="1:5" x14ac:dyDescent="0.25">
      <c r="A809" s="12"/>
      <c r="B809" s="8"/>
      <c r="C809" s="8"/>
      <c r="D809" s="8"/>
      <c r="E809" s="13"/>
    </row>
    <row r="810" spans="1:5" x14ac:dyDescent="0.25">
      <c r="A810" s="12"/>
      <c r="B810" s="8"/>
      <c r="C810" s="8"/>
      <c r="D810" s="8"/>
      <c r="E810" s="13"/>
    </row>
    <row r="811" spans="1:5" x14ac:dyDescent="0.25">
      <c r="A811" s="12"/>
      <c r="B811" s="8"/>
      <c r="C811" s="8"/>
      <c r="D811" s="8"/>
      <c r="E811" s="13"/>
    </row>
    <row r="812" spans="1:5" x14ac:dyDescent="0.25">
      <c r="A812" s="12"/>
      <c r="B812" s="8"/>
      <c r="C812" s="8"/>
      <c r="D812" s="8"/>
      <c r="E812" s="13"/>
    </row>
    <row r="813" spans="1:5" x14ac:dyDescent="0.25">
      <c r="A813" s="12"/>
      <c r="B813" s="8"/>
      <c r="C813" s="8"/>
      <c r="D813" s="8"/>
      <c r="E813" s="13"/>
    </row>
    <row r="814" spans="1:5" x14ac:dyDescent="0.25">
      <c r="A814" s="12"/>
      <c r="B814" s="8"/>
      <c r="C814" s="8"/>
      <c r="D814" s="8"/>
      <c r="E814" s="13"/>
    </row>
    <row r="815" spans="1:5" x14ac:dyDescent="0.25">
      <c r="A815" s="12"/>
      <c r="B815" s="8"/>
      <c r="C815" s="8"/>
      <c r="D815" s="8"/>
      <c r="E815" s="13"/>
    </row>
    <row r="816" spans="1:5" x14ac:dyDescent="0.25">
      <c r="A816" s="12"/>
      <c r="B816" s="8"/>
      <c r="C816" s="8"/>
      <c r="D816" s="8"/>
      <c r="E816" s="13"/>
    </row>
    <row r="817" spans="1:5" x14ac:dyDescent="0.25">
      <c r="A817" s="12"/>
      <c r="B817" s="8"/>
      <c r="C817" s="8"/>
      <c r="D817" s="8"/>
      <c r="E817" s="13"/>
    </row>
    <row r="818" spans="1:5" x14ac:dyDescent="0.25">
      <c r="A818" s="12"/>
      <c r="B818" s="8"/>
      <c r="C818" s="8"/>
      <c r="D818" s="8"/>
      <c r="E818" s="13"/>
    </row>
    <row r="819" spans="1:5" x14ac:dyDescent="0.25">
      <c r="A819" s="12"/>
      <c r="B819" s="8"/>
      <c r="C819" s="8"/>
      <c r="D819" s="8"/>
      <c r="E819" s="13"/>
    </row>
    <row r="820" spans="1:5" x14ac:dyDescent="0.25">
      <c r="A820" s="12"/>
      <c r="B820" s="8"/>
      <c r="C820" s="8"/>
      <c r="D820" s="8"/>
      <c r="E820" s="13"/>
    </row>
    <row r="821" spans="1:5" x14ac:dyDescent="0.25">
      <c r="A821" s="12"/>
      <c r="B821" s="8"/>
      <c r="C821" s="8"/>
      <c r="D821" s="8"/>
      <c r="E821" s="13"/>
    </row>
    <row r="822" spans="1:5" x14ac:dyDescent="0.25">
      <c r="A822" s="12"/>
      <c r="B822" s="8"/>
      <c r="C822" s="8"/>
      <c r="D822" s="8"/>
      <c r="E822" s="13"/>
    </row>
    <row r="823" spans="1:5" x14ac:dyDescent="0.25">
      <c r="A823" s="12"/>
      <c r="B823" s="8"/>
      <c r="C823" s="8"/>
      <c r="D823" s="8"/>
      <c r="E823" s="13"/>
    </row>
    <row r="824" spans="1:5" x14ac:dyDescent="0.25">
      <c r="A824" s="12"/>
      <c r="B824" s="8"/>
      <c r="C824" s="8"/>
      <c r="D824" s="8"/>
      <c r="E824" s="13"/>
    </row>
    <row r="825" spans="1:5" x14ac:dyDescent="0.25">
      <c r="A825" s="12"/>
      <c r="B825" s="8"/>
      <c r="C825" s="8"/>
      <c r="D825" s="8"/>
      <c r="E825" s="13"/>
    </row>
    <row r="826" spans="1:5" x14ac:dyDescent="0.25">
      <c r="A826" s="12"/>
      <c r="B826" s="8"/>
      <c r="C826" s="8"/>
      <c r="D826" s="8"/>
      <c r="E826" s="13"/>
    </row>
    <row r="827" spans="1:5" x14ac:dyDescent="0.25">
      <c r="A827" s="12"/>
      <c r="B827" s="8"/>
      <c r="C827" s="8"/>
      <c r="D827" s="8"/>
      <c r="E827" s="13"/>
    </row>
    <row r="828" spans="1:5" x14ac:dyDescent="0.25">
      <c r="A828" s="12"/>
      <c r="B828" s="8"/>
      <c r="C828" s="8"/>
      <c r="D828" s="8"/>
      <c r="E828" s="13"/>
    </row>
    <row r="829" spans="1:5" x14ac:dyDescent="0.25">
      <c r="A829" s="12"/>
      <c r="B829" s="8"/>
      <c r="C829" s="8"/>
      <c r="D829" s="8"/>
      <c r="E829" s="13"/>
    </row>
    <row r="830" spans="1:5" x14ac:dyDescent="0.25">
      <c r="A830" s="12"/>
      <c r="B830" s="8"/>
      <c r="C830" s="8"/>
      <c r="D830" s="8"/>
      <c r="E830" s="13"/>
    </row>
    <row r="831" spans="1:5" x14ac:dyDescent="0.25">
      <c r="A831" s="12"/>
      <c r="B831" s="8"/>
      <c r="C831" s="8"/>
      <c r="D831" s="8"/>
      <c r="E831" s="13"/>
    </row>
    <row r="832" spans="1:5" x14ac:dyDescent="0.25">
      <c r="A832" s="12"/>
      <c r="B832" s="8"/>
      <c r="C832" s="8"/>
      <c r="D832" s="8"/>
      <c r="E832" s="13"/>
    </row>
    <row r="833" spans="1:5" x14ac:dyDescent="0.25">
      <c r="A833" s="12"/>
      <c r="B833" s="8"/>
      <c r="C833" s="8"/>
      <c r="D833" s="8"/>
      <c r="E833" s="13"/>
    </row>
    <row r="834" spans="1:5" x14ac:dyDescent="0.25">
      <c r="A834" s="12"/>
      <c r="B834" s="8"/>
      <c r="C834" s="8"/>
      <c r="D834" s="8"/>
      <c r="E834" s="13"/>
    </row>
    <row r="835" spans="1:5" x14ac:dyDescent="0.25">
      <c r="A835" s="12"/>
      <c r="B835" s="8"/>
      <c r="C835" s="8"/>
      <c r="D835" s="8"/>
      <c r="E835" s="13"/>
    </row>
    <row r="836" spans="1:5" x14ac:dyDescent="0.25">
      <c r="A836" s="12"/>
      <c r="B836" s="8"/>
      <c r="C836" s="8"/>
      <c r="D836" s="8"/>
      <c r="E836" s="13"/>
    </row>
    <row r="837" spans="1:5" x14ac:dyDescent="0.25">
      <c r="A837" s="12"/>
      <c r="B837" s="8"/>
      <c r="C837" s="8"/>
      <c r="D837" s="8"/>
      <c r="E837" s="13"/>
    </row>
    <row r="838" spans="1:5" x14ac:dyDescent="0.25">
      <c r="A838" s="12"/>
      <c r="B838" s="8"/>
      <c r="C838" s="8"/>
      <c r="D838" s="8"/>
      <c r="E838" s="13"/>
    </row>
    <row r="839" spans="1:5" x14ac:dyDescent="0.25">
      <c r="A839" s="12"/>
      <c r="B839" s="8"/>
      <c r="C839" s="8"/>
      <c r="D839" s="8"/>
      <c r="E839" s="13"/>
    </row>
    <row r="840" spans="1:5" x14ac:dyDescent="0.25">
      <c r="A840" s="12"/>
      <c r="B840" s="8"/>
      <c r="C840" s="8"/>
      <c r="D840" s="8"/>
      <c r="E840" s="13"/>
    </row>
    <row r="841" spans="1:5" x14ac:dyDescent="0.25">
      <c r="A841" s="12"/>
      <c r="B841" s="8"/>
      <c r="C841" s="8"/>
      <c r="D841" s="8"/>
      <c r="E841" s="13"/>
    </row>
    <row r="842" spans="1:5" x14ac:dyDescent="0.25">
      <c r="A842" s="12"/>
      <c r="B842" s="8"/>
      <c r="C842" s="8"/>
      <c r="D842" s="8"/>
      <c r="E842" s="13"/>
    </row>
    <row r="843" spans="1:5" x14ac:dyDescent="0.25">
      <c r="A843" s="12"/>
      <c r="B843" s="8"/>
      <c r="C843" s="8"/>
      <c r="D843" s="8"/>
      <c r="E843" s="13"/>
    </row>
    <row r="844" spans="1:5" x14ac:dyDescent="0.25">
      <c r="A844" s="12"/>
      <c r="B844" s="8"/>
      <c r="C844" s="8"/>
      <c r="D844" s="8"/>
      <c r="E844" s="13"/>
    </row>
    <row r="845" spans="1:5" x14ac:dyDescent="0.25">
      <c r="A845" s="12"/>
      <c r="B845" s="8"/>
      <c r="C845" s="8"/>
      <c r="D845" s="8"/>
      <c r="E845" s="13"/>
    </row>
    <row r="846" spans="1:5" x14ac:dyDescent="0.25">
      <c r="A846" s="12"/>
      <c r="B846" s="8"/>
      <c r="C846" s="8"/>
      <c r="D846" s="8"/>
      <c r="E846" s="13"/>
    </row>
    <row r="847" spans="1:5" x14ac:dyDescent="0.25">
      <c r="A847" s="12"/>
      <c r="B847" s="8"/>
      <c r="C847" s="8"/>
      <c r="D847" s="8"/>
      <c r="E847" s="13"/>
    </row>
    <row r="848" spans="1:5" x14ac:dyDescent="0.25">
      <c r="A848" s="12"/>
      <c r="B848" s="8"/>
      <c r="C848" s="8"/>
      <c r="D848" s="8"/>
      <c r="E848" s="13"/>
    </row>
    <row r="849" spans="1:5" x14ac:dyDescent="0.25">
      <c r="A849" s="12"/>
      <c r="B849" s="8"/>
      <c r="C849" s="8"/>
      <c r="D849" s="8"/>
      <c r="E849" s="13"/>
    </row>
    <row r="850" spans="1:5" x14ac:dyDescent="0.25">
      <c r="A850" s="12"/>
      <c r="B850" s="8"/>
      <c r="C850" s="8"/>
      <c r="D850" s="8"/>
      <c r="E850" s="13"/>
    </row>
    <row r="851" spans="1:5" x14ac:dyDescent="0.25">
      <c r="A851" s="12"/>
      <c r="B851" s="8"/>
      <c r="C851" s="8"/>
      <c r="D851" s="8"/>
      <c r="E851" s="13"/>
    </row>
    <row r="852" spans="1:5" x14ac:dyDescent="0.25">
      <c r="A852" s="12"/>
      <c r="B852" s="8"/>
      <c r="C852" s="8"/>
      <c r="D852" s="8"/>
      <c r="E852" s="13"/>
    </row>
    <row r="853" spans="1:5" x14ac:dyDescent="0.25">
      <c r="A853" s="12"/>
      <c r="B853" s="8"/>
      <c r="C853" s="8"/>
      <c r="D853" s="8"/>
      <c r="E853" s="13"/>
    </row>
    <row r="854" spans="1:5" x14ac:dyDescent="0.25">
      <c r="A854" s="12"/>
      <c r="B854" s="8"/>
      <c r="C854" s="8"/>
      <c r="D854" s="8"/>
      <c r="E854" s="13"/>
    </row>
    <row r="855" spans="1:5" x14ac:dyDescent="0.25">
      <c r="A855" s="12"/>
      <c r="B855" s="8"/>
      <c r="C855" s="8"/>
      <c r="D855" s="8"/>
      <c r="E855" s="13"/>
    </row>
    <row r="856" spans="1:5" x14ac:dyDescent="0.25">
      <c r="A856" s="12"/>
      <c r="B856" s="8"/>
      <c r="C856" s="8"/>
      <c r="D856" s="8"/>
      <c r="E856" s="13"/>
    </row>
    <row r="857" spans="1:5" x14ac:dyDescent="0.25">
      <c r="A857" s="12"/>
      <c r="B857" s="8"/>
      <c r="C857" s="8"/>
      <c r="D857" s="8"/>
      <c r="E857" s="13"/>
    </row>
    <row r="858" spans="1:5" x14ac:dyDescent="0.25">
      <c r="A858" s="12"/>
      <c r="B858" s="8"/>
      <c r="C858" s="8"/>
      <c r="D858" s="8"/>
      <c r="E858" s="13"/>
    </row>
    <row r="859" spans="1:5" x14ac:dyDescent="0.25">
      <c r="A859" s="12"/>
      <c r="B859" s="8"/>
      <c r="C859" s="8"/>
      <c r="D859" s="8"/>
      <c r="E859" s="13"/>
    </row>
    <row r="860" spans="1:5" x14ac:dyDescent="0.25">
      <c r="A860" s="12"/>
      <c r="B860" s="8"/>
      <c r="C860" s="8"/>
      <c r="D860" s="8"/>
      <c r="E860" s="13"/>
    </row>
    <row r="861" spans="1:5" x14ac:dyDescent="0.25">
      <c r="A861" s="12"/>
      <c r="B861" s="8"/>
      <c r="C861" s="8"/>
      <c r="D861" s="8"/>
      <c r="E861" s="13"/>
    </row>
    <row r="862" spans="1:5" x14ac:dyDescent="0.25">
      <c r="A862" s="12"/>
      <c r="B862" s="8"/>
      <c r="C862" s="8"/>
      <c r="D862" s="8"/>
      <c r="E862" s="13"/>
    </row>
    <row r="863" spans="1:5" x14ac:dyDescent="0.25">
      <c r="A863" s="12"/>
      <c r="B863" s="8"/>
      <c r="C863" s="8"/>
      <c r="D863" s="8"/>
      <c r="E863" s="13"/>
    </row>
    <row r="864" spans="1:5" x14ac:dyDescent="0.25">
      <c r="A864" s="12"/>
      <c r="B864" s="8"/>
      <c r="C864" s="8"/>
      <c r="D864" s="8"/>
      <c r="E864" s="13"/>
    </row>
    <row r="865" spans="1:5" x14ac:dyDescent="0.25">
      <c r="A865" s="12"/>
      <c r="B865" s="8"/>
      <c r="C865" s="8"/>
      <c r="D865" s="8"/>
      <c r="E865" s="13"/>
    </row>
    <row r="866" spans="1:5" x14ac:dyDescent="0.25">
      <c r="A866" s="12"/>
      <c r="B866" s="8"/>
      <c r="C866" s="8"/>
      <c r="D866" s="8"/>
      <c r="E866" s="13"/>
    </row>
    <row r="867" spans="1:5" x14ac:dyDescent="0.25">
      <c r="A867" s="12"/>
      <c r="B867" s="8"/>
      <c r="C867" s="8"/>
      <c r="D867" s="8"/>
      <c r="E867" s="13"/>
    </row>
    <row r="868" spans="1:5" x14ac:dyDescent="0.25">
      <c r="A868" s="12"/>
      <c r="B868" s="8"/>
      <c r="C868" s="8"/>
      <c r="D868" s="8"/>
      <c r="E868" s="13"/>
    </row>
    <row r="869" spans="1:5" x14ac:dyDescent="0.25">
      <c r="A869" s="12"/>
      <c r="B869" s="8"/>
      <c r="C869" s="8"/>
      <c r="D869" s="8"/>
      <c r="E869" s="13"/>
    </row>
    <row r="870" spans="1:5" x14ac:dyDescent="0.25">
      <c r="A870" s="12"/>
      <c r="B870" s="8"/>
      <c r="C870" s="8"/>
      <c r="D870" s="8"/>
      <c r="E870" s="13"/>
    </row>
    <row r="871" spans="1:5" x14ac:dyDescent="0.25">
      <c r="A871" s="12"/>
      <c r="B871" s="8"/>
      <c r="C871" s="8"/>
      <c r="D871" s="8"/>
      <c r="E871" s="13"/>
    </row>
    <row r="872" spans="1:5" x14ac:dyDescent="0.25">
      <c r="A872" s="12"/>
      <c r="B872" s="8"/>
      <c r="C872" s="8"/>
      <c r="D872" s="8"/>
      <c r="E872" s="13"/>
    </row>
    <row r="873" spans="1:5" x14ac:dyDescent="0.25">
      <c r="A873" s="12"/>
      <c r="B873" s="8"/>
      <c r="C873" s="8"/>
      <c r="D873" s="8"/>
      <c r="E873" s="13"/>
    </row>
    <row r="874" spans="1:5" x14ac:dyDescent="0.25">
      <c r="A874" s="12"/>
      <c r="B874" s="8"/>
      <c r="C874" s="8"/>
      <c r="D874" s="8"/>
      <c r="E874" s="13"/>
    </row>
    <row r="875" spans="1:5" x14ac:dyDescent="0.25">
      <c r="A875" s="12"/>
      <c r="B875" s="8"/>
      <c r="C875" s="8"/>
      <c r="D875" s="8"/>
      <c r="E875" s="13"/>
    </row>
    <row r="876" spans="1:5" x14ac:dyDescent="0.25">
      <c r="A876" s="12"/>
      <c r="B876" s="8"/>
      <c r="C876" s="8"/>
      <c r="D876" s="8"/>
      <c r="E876" s="13"/>
    </row>
    <row r="877" spans="1:5" x14ac:dyDescent="0.25">
      <c r="A877" s="12"/>
      <c r="B877" s="8"/>
      <c r="C877" s="8"/>
      <c r="D877" s="8"/>
      <c r="E877" s="13"/>
    </row>
    <row r="878" spans="1:5" x14ac:dyDescent="0.25">
      <c r="A878" s="12"/>
      <c r="B878" s="8"/>
      <c r="C878" s="8"/>
      <c r="D878" s="8"/>
      <c r="E878" s="13"/>
    </row>
    <row r="879" spans="1:5" x14ac:dyDescent="0.25">
      <c r="A879" s="12"/>
      <c r="B879" s="8"/>
      <c r="C879" s="8"/>
      <c r="D879" s="8"/>
      <c r="E879" s="13"/>
    </row>
    <row r="880" spans="1:5" x14ac:dyDescent="0.25">
      <c r="A880" s="12"/>
      <c r="B880" s="8"/>
      <c r="C880" s="8"/>
      <c r="D880" s="8"/>
      <c r="E880" s="13"/>
    </row>
    <row r="881" spans="1:5" x14ac:dyDescent="0.25">
      <c r="A881" s="12"/>
      <c r="B881" s="8"/>
      <c r="C881" s="8"/>
      <c r="D881" s="8"/>
      <c r="E881" s="13"/>
    </row>
    <row r="882" spans="1:5" x14ac:dyDescent="0.25">
      <c r="A882" s="12"/>
      <c r="B882" s="8"/>
      <c r="C882" s="8"/>
      <c r="D882" s="8"/>
      <c r="E882" s="13"/>
    </row>
    <row r="883" spans="1:5" x14ac:dyDescent="0.25">
      <c r="A883" s="12"/>
      <c r="B883" s="8"/>
      <c r="C883" s="8"/>
      <c r="D883" s="8"/>
      <c r="E883" s="13"/>
    </row>
    <row r="884" spans="1:5" x14ac:dyDescent="0.25">
      <c r="A884" s="12"/>
      <c r="B884" s="8"/>
      <c r="C884" s="8"/>
      <c r="D884" s="8"/>
      <c r="E884" s="13"/>
    </row>
    <row r="885" spans="1:5" x14ac:dyDescent="0.25">
      <c r="A885" s="12"/>
      <c r="B885" s="8"/>
      <c r="C885" s="8"/>
      <c r="D885" s="8"/>
      <c r="E885" s="13"/>
    </row>
    <row r="886" spans="1:5" x14ac:dyDescent="0.25">
      <c r="A886" s="12"/>
      <c r="B886" s="8"/>
      <c r="C886" s="8"/>
      <c r="D886" s="8"/>
      <c r="E886" s="13"/>
    </row>
    <row r="887" spans="1:5" x14ac:dyDescent="0.25">
      <c r="A887" s="12"/>
      <c r="B887" s="8"/>
      <c r="C887" s="8"/>
      <c r="D887" s="8"/>
      <c r="E887" s="13"/>
    </row>
    <row r="888" spans="1:5" x14ac:dyDescent="0.25">
      <c r="A888" s="12"/>
      <c r="B888" s="8"/>
      <c r="C888" s="8"/>
      <c r="D888" s="8"/>
      <c r="E888" s="13"/>
    </row>
    <row r="889" spans="1:5" x14ac:dyDescent="0.25">
      <c r="A889" s="12"/>
      <c r="B889" s="8"/>
      <c r="C889" s="8"/>
      <c r="D889" s="8"/>
      <c r="E889" s="13"/>
    </row>
    <row r="890" spans="1:5" x14ac:dyDescent="0.25">
      <c r="A890" s="12"/>
      <c r="B890" s="8"/>
      <c r="C890" s="8"/>
      <c r="D890" s="8"/>
      <c r="E890" s="13"/>
    </row>
    <row r="891" spans="1:5" x14ac:dyDescent="0.25">
      <c r="A891" s="12"/>
      <c r="B891" s="8"/>
      <c r="C891" s="8"/>
      <c r="D891" s="8"/>
      <c r="E891" s="13"/>
    </row>
    <row r="892" spans="1:5" x14ac:dyDescent="0.25">
      <c r="A892" s="12"/>
      <c r="B892" s="8"/>
      <c r="C892" s="8"/>
      <c r="D892" s="8"/>
      <c r="E892" s="13"/>
    </row>
    <row r="893" spans="1:5" x14ac:dyDescent="0.25">
      <c r="A893" s="12"/>
      <c r="B893" s="8"/>
      <c r="C893" s="8"/>
      <c r="D893" s="8"/>
      <c r="E893" s="13"/>
    </row>
    <row r="894" spans="1:5" x14ac:dyDescent="0.25">
      <c r="A894" s="12"/>
      <c r="B894" s="8"/>
      <c r="C894" s="8"/>
      <c r="D894" s="8"/>
      <c r="E894" s="13"/>
    </row>
    <row r="895" spans="1:5" x14ac:dyDescent="0.25">
      <c r="A895" s="12"/>
      <c r="B895" s="8"/>
      <c r="C895" s="8"/>
      <c r="D895" s="8"/>
      <c r="E895" s="13"/>
    </row>
    <row r="896" spans="1:5" x14ac:dyDescent="0.25">
      <c r="A896" s="12"/>
      <c r="B896" s="8"/>
      <c r="C896" s="8"/>
      <c r="D896" s="8"/>
      <c r="E896" s="13"/>
    </row>
    <row r="897" spans="1:5" x14ac:dyDescent="0.25">
      <c r="A897" s="12"/>
      <c r="B897" s="8"/>
      <c r="C897" s="8"/>
      <c r="D897" s="8"/>
      <c r="E897" s="13"/>
    </row>
    <row r="898" spans="1:5" x14ac:dyDescent="0.25">
      <c r="A898" s="12"/>
      <c r="B898" s="8"/>
      <c r="C898" s="8"/>
      <c r="D898" s="8"/>
      <c r="E898" s="13"/>
    </row>
    <row r="899" spans="1:5" x14ac:dyDescent="0.25">
      <c r="A899" s="12"/>
      <c r="B899" s="8"/>
      <c r="C899" s="8"/>
      <c r="D899" s="8"/>
      <c r="E899" s="13"/>
    </row>
    <row r="900" spans="1:5" x14ac:dyDescent="0.25">
      <c r="A900" s="12"/>
      <c r="B900" s="8"/>
      <c r="C900" s="8"/>
      <c r="D900" s="8"/>
      <c r="E900" s="13"/>
    </row>
    <row r="901" spans="1:5" x14ac:dyDescent="0.25">
      <c r="A901" s="12"/>
      <c r="B901" s="8"/>
      <c r="C901" s="8"/>
      <c r="D901" s="8"/>
      <c r="E901" s="13"/>
    </row>
    <row r="902" spans="1:5" x14ac:dyDescent="0.25">
      <c r="A902" s="12"/>
      <c r="B902" s="8"/>
      <c r="C902" s="8"/>
      <c r="D902" s="8"/>
      <c r="E902" s="13"/>
    </row>
    <row r="903" spans="1:5" x14ac:dyDescent="0.25">
      <c r="A903" s="12"/>
      <c r="B903" s="8"/>
      <c r="C903" s="8"/>
      <c r="D903" s="8"/>
      <c r="E903" s="13"/>
    </row>
    <row r="904" spans="1:5" x14ac:dyDescent="0.25">
      <c r="A904" s="12"/>
      <c r="B904" s="8"/>
      <c r="C904" s="8"/>
      <c r="D904" s="8"/>
      <c r="E904" s="13"/>
    </row>
    <row r="905" spans="1:5" x14ac:dyDescent="0.25">
      <c r="A905" s="12"/>
      <c r="B905" s="8"/>
      <c r="C905" s="8"/>
      <c r="D905" s="8"/>
      <c r="E905" s="13"/>
    </row>
    <row r="906" spans="1:5" x14ac:dyDescent="0.25">
      <c r="A906" s="12"/>
      <c r="B906" s="8"/>
      <c r="C906" s="8"/>
      <c r="D906" s="8"/>
      <c r="E906" s="13"/>
    </row>
    <row r="907" spans="1:5" x14ac:dyDescent="0.25">
      <c r="A907" s="12"/>
      <c r="B907" s="8"/>
      <c r="C907" s="8"/>
      <c r="D907" s="8"/>
      <c r="E907" s="13"/>
    </row>
    <row r="908" spans="1:5" x14ac:dyDescent="0.25">
      <c r="A908" s="12"/>
      <c r="B908" s="8"/>
      <c r="C908" s="8"/>
      <c r="D908" s="8"/>
      <c r="E908" s="13"/>
    </row>
    <row r="909" spans="1:5" x14ac:dyDescent="0.25">
      <c r="A909" s="12"/>
      <c r="B909" s="8"/>
      <c r="C909" s="8"/>
      <c r="D909" s="8"/>
      <c r="E909" s="13"/>
    </row>
    <row r="910" spans="1:5" x14ac:dyDescent="0.25">
      <c r="A910" s="12"/>
      <c r="B910" s="8"/>
      <c r="C910" s="8"/>
      <c r="D910" s="8"/>
      <c r="E910" s="13"/>
    </row>
    <row r="911" spans="1:5" x14ac:dyDescent="0.25">
      <c r="A911" s="12"/>
      <c r="B911" s="8"/>
      <c r="C911" s="8"/>
      <c r="D911" s="8"/>
      <c r="E911" s="13"/>
    </row>
    <row r="912" spans="1:5" x14ac:dyDescent="0.25">
      <c r="A912" s="12"/>
      <c r="B912" s="8"/>
      <c r="C912" s="8"/>
      <c r="D912" s="8"/>
      <c r="E912" s="13"/>
    </row>
    <row r="913" spans="1:5" x14ac:dyDescent="0.25">
      <c r="A913" s="12"/>
      <c r="B913" s="8"/>
      <c r="C913" s="8"/>
      <c r="D913" s="8"/>
      <c r="E913" s="13"/>
    </row>
    <row r="914" spans="1:5" x14ac:dyDescent="0.25">
      <c r="A914" s="12"/>
      <c r="B914" s="8"/>
      <c r="C914" s="8"/>
      <c r="D914" s="8"/>
      <c r="E914" s="13"/>
    </row>
    <row r="915" spans="1:5" x14ac:dyDescent="0.25">
      <c r="A915" s="12"/>
      <c r="B915" s="8"/>
      <c r="C915" s="8"/>
      <c r="D915" s="8"/>
      <c r="E915" s="13"/>
    </row>
    <row r="916" spans="1:5" x14ac:dyDescent="0.25">
      <c r="A916" s="12"/>
      <c r="B916" s="8"/>
      <c r="C916" s="8"/>
      <c r="D916" s="8"/>
      <c r="E916" s="13"/>
    </row>
    <row r="917" spans="1:5" x14ac:dyDescent="0.25">
      <c r="A917" s="12"/>
      <c r="B917" s="8"/>
      <c r="C917" s="8"/>
      <c r="D917" s="8"/>
      <c r="E917" s="13"/>
    </row>
    <row r="918" spans="1:5" x14ac:dyDescent="0.25">
      <c r="A918" s="12"/>
      <c r="B918" s="8"/>
      <c r="C918" s="8"/>
      <c r="D918" s="8"/>
      <c r="E918" s="13"/>
    </row>
    <row r="919" spans="1:5" x14ac:dyDescent="0.25">
      <c r="A919" s="12"/>
      <c r="B919" s="8"/>
      <c r="C919" s="8"/>
      <c r="D919" s="8"/>
      <c r="E919" s="13"/>
    </row>
    <row r="920" spans="1:5" x14ac:dyDescent="0.25">
      <c r="A920" s="12"/>
      <c r="B920" s="8"/>
      <c r="C920" s="8"/>
      <c r="D920" s="8"/>
      <c r="E920" s="13"/>
    </row>
    <row r="921" spans="1:5" x14ac:dyDescent="0.25">
      <c r="A921" s="12"/>
      <c r="B921" s="8"/>
      <c r="C921" s="8"/>
      <c r="D921" s="8"/>
      <c r="E921" s="13"/>
    </row>
    <row r="922" spans="1:5" x14ac:dyDescent="0.25">
      <c r="A922" s="12"/>
      <c r="B922" s="8"/>
      <c r="C922" s="8"/>
      <c r="D922" s="8"/>
      <c r="E922" s="13"/>
    </row>
    <row r="923" spans="1:5" x14ac:dyDescent="0.25">
      <c r="A923" s="12"/>
      <c r="B923" s="8"/>
      <c r="C923" s="8"/>
      <c r="D923" s="8"/>
      <c r="E923" s="13"/>
    </row>
    <row r="924" spans="1:5" x14ac:dyDescent="0.25">
      <c r="A924" s="12"/>
      <c r="B924" s="8"/>
      <c r="C924" s="8"/>
      <c r="D924" s="8"/>
      <c r="E924" s="13"/>
    </row>
    <row r="925" spans="1:5" x14ac:dyDescent="0.25">
      <c r="A925" s="12"/>
      <c r="B925" s="8"/>
      <c r="C925" s="8"/>
      <c r="D925" s="8"/>
      <c r="E925" s="13"/>
    </row>
    <row r="926" spans="1:5" x14ac:dyDescent="0.25">
      <c r="A926" s="12"/>
      <c r="B926" s="8"/>
      <c r="C926" s="8"/>
      <c r="D926" s="8"/>
      <c r="E926" s="13"/>
    </row>
    <row r="927" spans="1:5" x14ac:dyDescent="0.25">
      <c r="A927" s="12"/>
      <c r="B927" s="8"/>
      <c r="C927" s="8"/>
      <c r="D927" s="8"/>
      <c r="E927" s="13"/>
    </row>
    <row r="928" spans="1:5" x14ac:dyDescent="0.25">
      <c r="A928" s="12"/>
      <c r="B928" s="8"/>
      <c r="C928" s="8"/>
      <c r="D928" s="8"/>
      <c r="E928" s="13"/>
    </row>
    <row r="929" spans="1:5" x14ac:dyDescent="0.25">
      <c r="A929" s="12"/>
      <c r="B929" s="8"/>
      <c r="C929" s="8"/>
      <c r="D929" s="8"/>
      <c r="E929" s="13"/>
    </row>
    <row r="930" spans="1:5" x14ac:dyDescent="0.25">
      <c r="A930" s="12"/>
      <c r="B930" s="8"/>
      <c r="C930" s="8"/>
      <c r="D930" s="8"/>
      <c r="E930" s="13"/>
    </row>
    <row r="931" spans="1:5" x14ac:dyDescent="0.25">
      <c r="A931" s="12"/>
      <c r="B931" s="8"/>
      <c r="C931" s="8"/>
      <c r="D931" s="8"/>
      <c r="E931" s="13"/>
    </row>
    <row r="932" spans="1:5" x14ac:dyDescent="0.25">
      <c r="A932" s="12"/>
      <c r="B932" s="8"/>
      <c r="C932" s="8"/>
      <c r="D932" s="8"/>
      <c r="E932" s="13"/>
    </row>
    <row r="933" spans="1:5" x14ac:dyDescent="0.25">
      <c r="A933" s="12"/>
      <c r="B933" s="8"/>
      <c r="C933" s="8"/>
      <c r="D933" s="8"/>
      <c r="E933" s="13"/>
    </row>
    <row r="934" spans="1:5" x14ac:dyDescent="0.25">
      <c r="A934" s="12"/>
      <c r="B934" s="8"/>
      <c r="C934" s="8"/>
      <c r="D934" s="8"/>
      <c r="E934" s="13"/>
    </row>
    <row r="935" spans="1:5" x14ac:dyDescent="0.25">
      <c r="A935" s="12"/>
      <c r="B935" s="8"/>
      <c r="C935" s="8"/>
      <c r="D935" s="8"/>
      <c r="E935" s="13"/>
    </row>
    <row r="936" spans="1:5" x14ac:dyDescent="0.25">
      <c r="A936" s="12"/>
      <c r="B936" s="8"/>
      <c r="C936" s="8"/>
      <c r="D936" s="8"/>
      <c r="E936" s="13"/>
    </row>
    <row r="937" spans="1:5" x14ac:dyDescent="0.25">
      <c r="A937" s="12"/>
      <c r="B937" s="8"/>
      <c r="C937" s="8"/>
      <c r="D937" s="8"/>
      <c r="E937" s="13"/>
    </row>
    <row r="938" spans="1:5" x14ac:dyDescent="0.25">
      <c r="A938" s="12"/>
      <c r="B938" s="8"/>
      <c r="C938" s="8"/>
      <c r="D938" s="8"/>
      <c r="E938" s="13"/>
    </row>
    <row r="939" spans="1:5" x14ac:dyDescent="0.25">
      <c r="A939" s="12"/>
      <c r="B939" s="8"/>
      <c r="C939" s="8"/>
      <c r="D939" s="8"/>
      <c r="E939" s="13"/>
    </row>
    <row r="940" spans="1:5" x14ac:dyDescent="0.25">
      <c r="A940" s="12"/>
      <c r="B940" s="8"/>
      <c r="C940" s="8"/>
      <c r="D940" s="8"/>
      <c r="E940" s="13"/>
    </row>
    <row r="941" spans="1:5" x14ac:dyDescent="0.25">
      <c r="A941" s="12"/>
      <c r="B941" s="8"/>
      <c r="C941" s="8"/>
      <c r="D941" s="8"/>
      <c r="E941" s="13"/>
    </row>
    <row r="942" spans="1:5" x14ac:dyDescent="0.25">
      <c r="A942" s="12"/>
      <c r="B942" s="8"/>
      <c r="C942" s="8"/>
      <c r="D942" s="8"/>
      <c r="E942" s="13"/>
    </row>
    <row r="943" spans="1:5" x14ac:dyDescent="0.25">
      <c r="A943" s="12"/>
      <c r="B943" s="8"/>
      <c r="C943" s="8"/>
      <c r="D943" s="8"/>
      <c r="E943" s="13"/>
    </row>
    <row r="944" spans="1:5" x14ac:dyDescent="0.25">
      <c r="A944" s="12"/>
      <c r="B944" s="8"/>
      <c r="C944" s="8"/>
      <c r="D944" s="8"/>
      <c r="E944" s="13"/>
    </row>
    <row r="945" spans="1:5" x14ac:dyDescent="0.25">
      <c r="A945" s="12"/>
      <c r="B945" s="8"/>
      <c r="C945" s="8"/>
      <c r="D945" s="8"/>
      <c r="E945" s="13"/>
    </row>
    <row r="946" spans="1:5" x14ac:dyDescent="0.25">
      <c r="A946" s="12"/>
      <c r="B946" s="8"/>
      <c r="C946" s="8"/>
      <c r="D946" s="8"/>
      <c r="E946" s="13"/>
    </row>
    <row r="947" spans="1:5" x14ac:dyDescent="0.25">
      <c r="A947" s="12"/>
      <c r="B947" s="8"/>
      <c r="C947" s="8"/>
      <c r="D947" s="8"/>
      <c r="E947" s="13"/>
    </row>
    <row r="948" spans="1:5" x14ac:dyDescent="0.25">
      <c r="A948" s="12"/>
      <c r="B948" s="8"/>
      <c r="C948" s="8"/>
      <c r="D948" s="8"/>
      <c r="E948" s="13"/>
    </row>
    <row r="949" spans="1:5" x14ac:dyDescent="0.25">
      <c r="A949" s="12"/>
      <c r="B949" s="8"/>
      <c r="C949" s="8"/>
      <c r="D949" s="8"/>
      <c r="E949" s="13"/>
    </row>
    <row r="950" spans="1:5" x14ac:dyDescent="0.25">
      <c r="A950" s="12"/>
      <c r="B950" s="8"/>
      <c r="C950" s="8"/>
      <c r="D950" s="8"/>
      <c r="E950" s="13"/>
    </row>
    <row r="951" spans="1:5" x14ac:dyDescent="0.25">
      <c r="A951" s="12"/>
      <c r="B951" s="8"/>
      <c r="C951" s="8"/>
      <c r="D951" s="8"/>
      <c r="E951" s="13"/>
    </row>
    <row r="952" spans="1:5" x14ac:dyDescent="0.25">
      <c r="A952" s="12"/>
      <c r="B952" s="8"/>
      <c r="C952" s="8"/>
      <c r="D952" s="8"/>
      <c r="E952" s="13"/>
    </row>
    <row r="953" spans="1:5" x14ac:dyDescent="0.25">
      <c r="A953" s="12"/>
      <c r="B953" s="8"/>
      <c r="C953" s="8"/>
      <c r="D953" s="8"/>
      <c r="E953" s="13"/>
    </row>
    <row r="954" spans="1:5" x14ac:dyDescent="0.25">
      <c r="A954" s="12"/>
      <c r="B954" s="8"/>
      <c r="C954" s="8"/>
      <c r="D954" s="8"/>
      <c r="E954" s="13"/>
    </row>
    <row r="955" spans="1:5" x14ac:dyDescent="0.25">
      <c r="A955" s="12"/>
      <c r="B955" s="8"/>
      <c r="C955" s="8"/>
      <c r="D955" s="8"/>
      <c r="E955" s="13"/>
    </row>
    <row r="956" spans="1:5" x14ac:dyDescent="0.25">
      <c r="A956" s="12"/>
      <c r="B956" s="8"/>
      <c r="C956" s="8"/>
      <c r="D956" s="8"/>
      <c r="E956" s="13"/>
    </row>
    <row r="957" spans="1:5" x14ac:dyDescent="0.25">
      <c r="A957" s="12"/>
      <c r="B957" s="8"/>
      <c r="C957" s="8"/>
      <c r="D957" s="8"/>
      <c r="E957" s="13"/>
    </row>
    <row r="958" spans="1:5" x14ac:dyDescent="0.25">
      <c r="A958" s="12"/>
      <c r="B958" s="8"/>
      <c r="C958" s="8"/>
      <c r="D958" s="8"/>
      <c r="E958" s="13"/>
    </row>
    <row r="959" spans="1:5" x14ac:dyDescent="0.25">
      <c r="A959" s="12"/>
      <c r="B959" s="8"/>
      <c r="C959" s="8"/>
      <c r="D959" s="8"/>
      <c r="E959" s="13"/>
    </row>
    <row r="960" spans="1:5" x14ac:dyDescent="0.25">
      <c r="A960" s="12"/>
      <c r="B960" s="8"/>
      <c r="C960" s="8"/>
      <c r="D960" s="8"/>
      <c r="E960" s="13"/>
    </row>
    <row r="961" spans="1:5" x14ac:dyDescent="0.25">
      <c r="A961" s="12"/>
      <c r="B961" s="8"/>
      <c r="C961" s="8"/>
      <c r="D961" s="8"/>
      <c r="E961" s="13"/>
    </row>
    <row r="962" spans="1:5" x14ac:dyDescent="0.25">
      <c r="A962" s="12"/>
      <c r="B962" s="8"/>
      <c r="C962" s="8"/>
      <c r="D962" s="8"/>
      <c r="E962" s="13"/>
    </row>
    <row r="963" spans="1:5" x14ac:dyDescent="0.25">
      <c r="A963" s="12"/>
      <c r="B963" s="8"/>
      <c r="C963" s="8"/>
      <c r="D963" s="8"/>
      <c r="E963" s="13"/>
    </row>
    <row r="964" spans="1:5" x14ac:dyDescent="0.25">
      <c r="A964" s="12"/>
      <c r="B964" s="8"/>
      <c r="C964" s="8"/>
      <c r="D964" s="8"/>
      <c r="E964" s="13"/>
    </row>
    <row r="965" spans="1:5" x14ac:dyDescent="0.25">
      <c r="A965" s="12"/>
      <c r="B965" s="8"/>
      <c r="C965" s="8"/>
      <c r="D965" s="8"/>
      <c r="E965" s="13"/>
    </row>
    <row r="966" spans="1:5" x14ac:dyDescent="0.25">
      <c r="A966" s="12"/>
      <c r="B966" s="8"/>
      <c r="C966" s="8"/>
      <c r="D966" s="8"/>
      <c r="E966" s="13"/>
    </row>
    <row r="967" spans="1:5" x14ac:dyDescent="0.25">
      <c r="A967" s="12"/>
      <c r="B967" s="8"/>
      <c r="C967" s="8"/>
      <c r="D967" s="8"/>
      <c r="E967" s="13"/>
    </row>
    <row r="968" spans="1:5" x14ac:dyDescent="0.25">
      <c r="A968" s="12"/>
      <c r="B968" s="8"/>
      <c r="C968" s="8"/>
      <c r="D968" s="8"/>
      <c r="E968" s="13"/>
    </row>
    <row r="969" spans="1:5" x14ac:dyDescent="0.25">
      <c r="A969" s="12"/>
      <c r="B969" s="8"/>
      <c r="C969" s="8"/>
      <c r="D969" s="8"/>
      <c r="E969" s="13"/>
    </row>
    <row r="970" spans="1:5" x14ac:dyDescent="0.25">
      <c r="A970" s="12"/>
      <c r="B970" s="8"/>
      <c r="C970" s="8"/>
      <c r="D970" s="8"/>
      <c r="E970" s="13"/>
    </row>
    <row r="971" spans="1:5" x14ac:dyDescent="0.25">
      <c r="A971" s="12"/>
      <c r="B971" s="8"/>
      <c r="C971" s="8"/>
      <c r="D971" s="8"/>
      <c r="E971" s="13"/>
    </row>
    <row r="972" spans="1:5" x14ac:dyDescent="0.25">
      <c r="A972" s="12"/>
      <c r="B972" s="8"/>
      <c r="C972" s="8"/>
      <c r="D972" s="8"/>
      <c r="E972" s="13"/>
    </row>
    <row r="973" spans="1:5" x14ac:dyDescent="0.25">
      <c r="A973" s="12"/>
      <c r="B973" s="8"/>
      <c r="C973" s="8"/>
      <c r="D973" s="8"/>
      <c r="E973" s="13"/>
    </row>
    <row r="974" spans="1:5" x14ac:dyDescent="0.25">
      <c r="A974" s="12"/>
      <c r="B974" s="8"/>
      <c r="C974" s="8"/>
      <c r="D974" s="8"/>
      <c r="E974" s="13"/>
    </row>
    <row r="975" spans="1:5" x14ac:dyDescent="0.25">
      <c r="A975" s="12"/>
      <c r="B975" s="8"/>
      <c r="C975" s="8"/>
      <c r="D975" s="8"/>
      <c r="E975" s="13"/>
    </row>
    <row r="976" spans="1:5" x14ac:dyDescent="0.25">
      <c r="A976" s="12"/>
      <c r="B976" s="8"/>
      <c r="C976" s="8"/>
      <c r="D976" s="8"/>
      <c r="E976" s="13"/>
    </row>
    <row r="977" spans="1:5" x14ac:dyDescent="0.25">
      <c r="A977" s="12"/>
      <c r="B977" s="8"/>
      <c r="C977" s="8"/>
      <c r="D977" s="8"/>
      <c r="E977" s="13"/>
    </row>
    <row r="978" spans="1:5" x14ac:dyDescent="0.25">
      <c r="A978" s="12"/>
      <c r="B978" s="8"/>
      <c r="C978" s="8"/>
      <c r="D978" s="8"/>
      <c r="E978" s="13"/>
    </row>
    <row r="979" spans="1:5" x14ac:dyDescent="0.25">
      <c r="A979" s="12"/>
      <c r="B979" s="8"/>
      <c r="C979" s="8"/>
      <c r="D979" s="8"/>
      <c r="E979" s="13"/>
    </row>
    <row r="980" spans="1:5" x14ac:dyDescent="0.25">
      <c r="A980" s="12"/>
      <c r="B980" s="8"/>
      <c r="C980" s="8"/>
      <c r="D980" s="8"/>
      <c r="E980" s="13"/>
    </row>
    <row r="981" spans="1:5" x14ac:dyDescent="0.25">
      <c r="A981" s="12"/>
      <c r="B981" s="8"/>
      <c r="C981" s="8"/>
      <c r="D981" s="8"/>
      <c r="E981" s="13"/>
    </row>
    <row r="982" spans="1:5" x14ac:dyDescent="0.25">
      <c r="A982" s="12"/>
      <c r="B982" s="8"/>
      <c r="C982" s="8"/>
      <c r="D982" s="8"/>
      <c r="E982" s="13"/>
    </row>
    <row r="983" spans="1:5" x14ac:dyDescent="0.25">
      <c r="A983" s="12"/>
      <c r="B983" s="8"/>
      <c r="C983" s="8"/>
      <c r="D983" s="8"/>
      <c r="E983" s="13"/>
    </row>
    <row r="984" spans="1:5" x14ac:dyDescent="0.25">
      <c r="A984" s="12"/>
      <c r="B984" s="8"/>
      <c r="C984" s="8"/>
      <c r="D984" s="8"/>
      <c r="E984" s="13"/>
    </row>
    <row r="985" spans="1:5" x14ac:dyDescent="0.25">
      <c r="A985" s="12"/>
      <c r="B985" s="8"/>
      <c r="C985" s="8"/>
      <c r="D985" s="8"/>
      <c r="E985" s="13"/>
    </row>
    <row r="986" spans="1:5" x14ac:dyDescent="0.25">
      <c r="A986" s="12"/>
      <c r="B986" s="8"/>
      <c r="C986" s="8"/>
      <c r="D986" s="8"/>
      <c r="E986" s="13"/>
    </row>
    <row r="987" spans="1:5" x14ac:dyDescent="0.25">
      <c r="A987" s="12"/>
      <c r="B987" s="8"/>
      <c r="C987" s="8"/>
      <c r="D987" s="8"/>
      <c r="E987" s="13"/>
    </row>
    <row r="988" spans="1:5" x14ac:dyDescent="0.25">
      <c r="A988" s="12"/>
      <c r="B988" s="8"/>
      <c r="C988" s="8"/>
      <c r="D988" s="8"/>
      <c r="E988" s="13"/>
    </row>
    <row r="989" spans="1:5" x14ac:dyDescent="0.25">
      <c r="A989" s="12"/>
      <c r="B989" s="8"/>
      <c r="C989" s="8"/>
      <c r="D989" s="8"/>
      <c r="E989" s="13"/>
    </row>
    <row r="990" spans="1:5" x14ac:dyDescent="0.25">
      <c r="A990" s="12"/>
      <c r="B990" s="8"/>
      <c r="C990" s="8"/>
      <c r="D990" s="8"/>
      <c r="E990" s="13"/>
    </row>
    <row r="991" spans="1:5" x14ac:dyDescent="0.25">
      <c r="A991" s="12"/>
      <c r="B991" s="8"/>
      <c r="C991" s="8"/>
      <c r="D991" s="8"/>
      <c r="E991" s="13"/>
    </row>
    <row r="992" spans="1:5" x14ac:dyDescent="0.25">
      <c r="A992" s="12"/>
      <c r="B992" s="8"/>
      <c r="C992" s="8"/>
      <c r="D992" s="8"/>
      <c r="E992" s="13"/>
    </row>
    <row r="993" spans="1:5" x14ac:dyDescent="0.25">
      <c r="A993" s="12"/>
      <c r="B993" s="8"/>
      <c r="C993" s="8"/>
      <c r="D993" s="8"/>
      <c r="E993" s="13"/>
    </row>
    <row r="994" spans="1:5" x14ac:dyDescent="0.25">
      <c r="A994" s="12"/>
      <c r="B994" s="8"/>
      <c r="C994" s="8"/>
      <c r="D994" s="8"/>
      <c r="E994" s="13"/>
    </row>
    <row r="995" spans="1:5" x14ac:dyDescent="0.25">
      <c r="A995" s="12"/>
      <c r="B995" s="8"/>
      <c r="C995" s="8"/>
      <c r="D995" s="8"/>
      <c r="E995" s="13"/>
    </row>
    <row r="996" spans="1:5" x14ac:dyDescent="0.25">
      <c r="A996" s="12"/>
      <c r="B996" s="8"/>
      <c r="C996" s="8"/>
      <c r="D996" s="8"/>
      <c r="E996" s="13"/>
    </row>
    <row r="997" spans="1:5" x14ac:dyDescent="0.25">
      <c r="A997" s="12"/>
      <c r="B997" s="8"/>
      <c r="C997" s="8"/>
      <c r="D997" s="8"/>
      <c r="E997" s="13"/>
    </row>
    <row r="998" spans="1:5" x14ac:dyDescent="0.25">
      <c r="A998" s="12"/>
      <c r="B998" s="8"/>
      <c r="C998" s="8"/>
      <c r="D998" s="8"/>
      <c r="E998" s="13"/>
    </row>
    <row r="999" spans="1:5" x14ac:dyDescent="0.25">
      <c r="A999" s="12"/>
      <c r="B999" s="8"/>
      <c r="C999" s="8"/>
      <c r="D999" s="8"/>
      <c r="E999" s="13"/>
    </row>
    <row r="1000" spans="1:5" x14ac:dyDescent="0.25">
      <c r="A1000" s="12"/>
      <c r="B1000" s="8"/>
      <c r="C1000" s="8"/>
      <c r="D1000" s="8"/>
      <c r="E1000" s="13"/>
    </row>
    <row r="1001" spans="1:5" x14ac:dyDescent="0.25">
      <c r="A1001" s="12"/>
      <c r="B1001" s="8"/>
      <c r="C1001" s="8"/>
      <c r="D1001" s="8"/>
      <c r="E1001" s="13"/>
    </row>
    <row r="1002" spans="1:5" x14ac:dyDescent="0.25">
      <c r="A1002" s="12"/>
      <c r="B1002" s="8"/>
      <c r="C1002" s="8"/>
      <c r="D1002" s="8"/>
      <c r="E1002" s="13"/>
    </row>
    <row r="1003" spans="1:5" x14ac:dyDescent="0.25">
      <c r="A1003" s="12"/>
      <c r="B1003" s="8"/>
      <c r="C1003" s="8"/>
      <c r="D1003" s="8"/>
      <c r="E1003" s="13"/>
    </row>
    <row r="1004" spans="1:5" x14ac:dyDescent="0.25">
      <c r="A1004" s="12"/>
      <c r="B1004" s="8"/>
      <c r="C1004" s="8"/>
      <c r="D1004" s="8"/>
      <c r="E1004" s="13"/>
    </row>
  </sheetData>
  <dataValidations count="3">
    <dataValidation type="date" operator="greaterThan" allowBlank="1" showErrorMessage="1" errorTitle="Tanggal tidak valid" error="Isi tanggal, misalnya 15/11/2026." sqref="A5:A1004">
      <formula1>36526</formula1>
    </dataValidation>
    <dataValidation type="list" allowBlank="1" sqref="C5:C1004">
      <formula1>Daftar!$A$5:$A$19</formula1>
    </dataValidation>
    <dataValidation type="decimal" operator="greaterThanOrEqual" allowBlank="1" showErrorMessage="1" errorTitle="Jumlah tidak valid" error="Isi angka tanpa tanda minus. Uang keluar dicatat di lembar Kas Keluar." sqref="E5:E100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7185"/>
  </sheetPr>
  <dimension ref="A1:E10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4" width="26" customWidth="1"/>
    <col min="5" max="5" width="18" customWidth="1"/>
  </cols>
  <sheetData>
    <row r="1" spans="1:1" x14ac:dyDescent="0.25">
      <c r="A1" s="5" t="s">
        <v>49</v>
      </c>
    </row>
    <row r="2" spans="1:1" x14ac:dyDescent="0.25">
      <c r="A2" s="6" t="s">
        <v>50</v>
      </c>
    </row>
    <row r="4" ht="30" customHeight="1" spans="1:5" x14ac:dyDescent="0.25">
      <c r="A4" s="7" t="s">
        <v>38</v>
      </c>
      <c r="B4" s="7" t="s">
        <v>39</v>
      </c>
      <c r="C4" s="7" t="s">
        <v>40</v>
      </c>
      <c r="D4" s="7" t="s">
        <v>51</v>
      </c>
      <c r="E4" s="7" t="s">
        <v>42</v>
      </c>
    </row>
    <row r="5" spans="1:5" x14ac:dyDescent="0.25">
      <c r="A5" s="9">
        <v>46329</v>
      </c>
      <c r="B5" s="10" t="s">
        <v>52</v>
      </c>
      <c r="C5" s="10" t="s">
        <v>22</v>
      </c>
      <c r="D5" s="10" t="s">
        <v>53</v>
      </c>
      <c r="E5" s="11">
        <v>420000</v>
      </c>
    </row>
    <row r="6" spans="1:5" x14ac:dyDescent="0.25">
      <c r="A6" s="9">
        <v>46333</v>
      </c>
      <c r="B6" s="10" t="s">
        <v>54</v>
      </c>
      <c r="C6" s="10" t="s">
        <v>28</v>
      </c>
      <c r="D6" s="10" t="s">
        <v>53</v>
      </c>
      <c r="E6" s="11">
        <v>250000</v>
      </c>
    </row>
    <row r="7" spans="1:5" x14ac:dyDescent="0.25">
      <c r="A7" s="9">
        <v>46338</v>
      </c>
      <c r="B7" s="10" t="s">
        <v>55</v>
      </c>
      <c r="C7" s="10" t="s">
        <v>35</v>
      </c>
      <c r="D7" s="10" t="s">
        <v>56</v>
      </c>
      <c r="E7" s="11">
        <v>500000</v>
      </c>
    </row>
    <row r="8" spans="1:5" x14ac:dyDescent="0.25">
      <c r="A8" s="12"/>
      <c r="B8" s="8"/>
      <c r="C8" s="8"/>
      <c r="D8" s="8"/>
      <c r="E8" s="13"/>
    </row>
    <row r="9" spans="1:5" x14ac:dyDescent="0.25">
      <c r="A9" s="12"/>
      <c r="B9" s="8"/>
      <c r="C9" s="8"/>
      <c r="D9" s="8"/>
      <c r="E9" s="13"/>
    </row>
    <row r="10" spans="1:5" x14ac:dyDescent="0.25">
      <c r="A10" s="12"/>
      <c r="B10" s="8"/>
      <c r="C10" s="8"/>
      <c r="D10" s="8"/>
      <c r="E10" s="13"/>
    </row>
    <row r="11" spans="1:5" x14ac:dyDescent="0.25">
      <c r="A11" s="12"/>
      <c r="B11" s="8"/>
      <c r="C11" s="8"/>
      <c r="D11" s="8"/>
      <c r="E11" s="13"/>
    </row>
    <row r="12" spans="1:5" x14ac:dyDescent="0.25">
      <c r="A12" s="12"/>
      <c r="B12" s="8"/>
      <c r="C12" s="8"/>
      <c r="D12" s="8"/>
      <c r="E12" s="13"/>
    </row>
    <row r="13" spans="1:5" x14ac:dyDescent="0.25">
      <c r="A13" s="12"/>
      <c r="B13" s="8"/>
      <c r="C13" s="8"/>
      <c r="D13" s="8"/>
      <c r="E13" s="13"/>
    </row>
    <row r="14" spans="1:5" x14ac:dyDescent="0.25">
      <c r="A14" s="12"/>
      <c r="B14" s="8"/>
      <c r="C14" s="8"/>
      <c r="D14" s="8"/>
      <c r="E14" s="13"/>
    </row>
    <row r="15" spans="1:5" x14ac:dyDescent="0.25">
      <c r="A15" s="12"/>
      <c r="B15" s="8"/>
      <c r="C15" s="8"/>
      <c r="D15" s="8"/>
      <c r="E15" s="13"/>
    </row>
    <row r="16" spans="1:5" x14ac:dyDescent="0.25">
      <c r="A16" s="12"/>
      <c r="B16" s="8"/>
      <c r="C16" s="8"/>
      <c r="D16" s="8"/>
      <c r="E16" s="13"/>
    </row>
    <row r="17" spans="1:5" x14ac:dyDescent="0.25">
      <c r="A17" s="12"/>
      <c r="B17" s="8"/>
      <c r="C17" s="8"/>
      <c r="D17" s="8"/>
      <c r="E17" s="13"/>
    </row>
    <row r="18" spans="1:5" x14ac:dyDescent="0.25">
      <c r="A18" s="12"/>
      <c r="B18" s="8"/>
      <c r="C18" s="8"/>
      <c r="D18" s="8"/>
      <c r="E18" s="13"/>
    </row>
    <row r="19" spans="1:5" x14ac:dyDescent="0.25">
      <c r="A19" s="12"/>
      <c r="B19" s="8"/>
      <c r="C19" s="8"/>
      <c r="D19" s="8"/>
      <c r="E19" s="13"/>
    </row>
    <row r="20" spans="1:5" x14ac:dyDescent="0.25">
      <c r="A20" s="12"/>
      <c r="B20" s="8"/>
      <c r="C20" s="8"/>
      <c r="D20" s="8"/>
      <c r="E20" s="13"/>
    </row>
    <row r="21" spans="1:5" x14ac:dyDescent="0.25">
      <c r="A21" s="12"/>
      <c r="B21" s="8"/>
      <c r="C21" s="8"/>
      <c r="D21" s="8"/>
      <c r="E21" s="13"/>
    </row>
    <row r="22" spans="1:5" x14ac:dyDescent="0.25">
      <c r="A22" s="12"/>
      <c r="B22" s="8"/>
      <c r="C22" s="8"/>
      <c r="D22" s="8"/>
      <c r="E22" s="13"/>
    </row>
    <row r="23" spans="1:5" x14ac:dyDescent="0.25">
      <c r="A23" s="12"/>
      <c r="B23" s="8"/>
      <c r="C23" s="8"/>
      <c r="D23" s="8"/>
      <c r="E23" s="13"/>
    </row>
    <row r="24" spans="1:5" x14ac:dyDescent="0.25">
      <c r="A24" s="12"/>
      <c r="B24" s="8"/>
      <c r="C24" s="8"/>
      <c r="D24" s="8"/>
      <c r="E24" s="13"/>
    </row>
    <row r="25" spans="1:5" x14ac:dyDescent="0.25">
      <c r="A25" s="12"/>
      <c r="B25" s="8"/>
      <c r="C25" s="8"/>
      <c r="D25" s="8"/>
      <c r="E25" s="13"/>
    </row>
    <row r="26" spans="1:5" x14ac:dyDescent="0.25">
      <c r="A26" s="12"/>
      <c r="B26" s="8"/>
      <c r="C26" s="8"/>
      <c r="D26" s="8"/>
      <c r="E26" s="13"/>
    </row>
    <row r="27" spans="1:5" x14ac:dyDescent="0.25">
      <c r="A27" s="12"/>
      <c r="B27" s="8"/>
      <c r="C27" s="8"/>
      <c r="D27" s="8"/>
      <c r="E27" s="13"/>
    </row>
    <row r="28" spans="1:5" x14ac:dyDescent="0.25">
      <c r="A28" s="12"/>
      <c r="B28" s="8"/>
      <c r="C28" s="8"/>
      <c r="D28" s="8"/>
      <c r="E28" s="13"/>
    </row>
    <row r="29" spans="1:5" x14ac:dyDescent="0.25">
      <c r="A29" s="12"/>
      <c r="B29" s="8"/>
      <c r="C29" s="8"/>
      <c r="D29" s="8"/>
      <c r="E29" s="13"/>
    </row>
    <row r="30" spans="1:5" x14ac:dyDescent="0.25">
      <c r="A30" s="12"/>
      <c r="B30" s="8"/>
      <c r="C30" s="8"/>
      <c r="D30" s="8"/>
      <c r="E30" s="13"/>
    </row>
    <row r="31" spans="1:5" x14ac:dyDescent="0.25">
      <c r="A31" s="12"/>
      <c r="B31" s="8"/>
      <c r="C31" s="8"/>
      <c r="D31" s="8"/>
      <c r="E31" s="13"/>
    </row>
    <row r="32" spans="1:5" x14ac:dyDescent="0.25">
      <c r="A32" s="12"/>
      <c r="B32" s="8"/>
      <c r="C32" s="8"/>
      <c r="D32" s="8"/>
      <c r="E32" s="13"/>
    </row>
    <row r="33" spans="1:5" x14ac:dyDescent="0.25">
      <c r="A33" s="12"/>
      <c r="B33" s="8"/>
      <c r="C33" s="8"/>
      <c r="D33" s="8"/>
      <c r="E33" s="13"/>
    </row>
    <row r="34" spans="1:5" x14ac:dyDescent="0.25">
      <c r="A34" s="12"/>
      <c r="B34" s="8"/>
      <c r="C34" s="8"/>
      <c r="D34" s="8"/>
      <c r="E34" s="13"/>
    </row>
    <row r="35" spans="1:5" x14ac:dyDescent="0.25">
      <c r="A35" s="12"/>
      <c r="B35" s="8"/>
      <c r="C35" s="8"/>
      <c r="D35" s="8"/>
      <c r="E35" s="13"/>
    </row>
    <row r="36" spans="1:5" x14ac:dyDescent="0.25">
      <c r="A36" s="12"/>
      <c r="B36" s="8"/>
      <c r="C36" s="8"/>
      <c r="D36" s="8"/>
      <c r="E36" s="13"/>
    </row>
    <row r="37" spans="1:5" x14ac:dyDescent="0.25">
      <c r="A37" s="12"/>
      <c r="B37" s="8"/>
      <c r="C37" s="8"/>
      <c r="D37" s="8"/>
      <c r="E37" s="13"/>
    </row>
    <row r="38" spans="1:5" x14ac:dyDescent="0.25">
      <c r="A38" s="12"/>
      <c r="B38" s="8"/>
      <c r="C38" s="8"/>
      <c r="D38" s="8"/>
      <c r="E38" s="13"/>
    </row>
    <row r="39" spans="1:5" x14ac:dyDescent="0.25">
      <c r="A39" s="12"/>
      <c r="B39" s="8"/>
      <c r="C39" s="8"/>
      <c r="D39" s="8"/>
      <c r="E39" s="13"/>
    </row>
    <row r="40" spans="1:5" x14ac:dyDescent="0.25">
      <c r="A40" s="12"/>
      <c r="B40" s="8"/>
      <c r="C40" s="8"/>
      <c r="D40" s="8"/>
      <c r="E40" s="13"/>
    </row>
    <row r="41" spans="1:5" x14ac:dyDescent="0.25">
      <c r="A41" s="12"/>
      <c r="B41" s="8"/>
      <c r="C41" s="8"/>
      <c r="D41" s="8"/>
      <c r="E41" s="13"/>
    </row>
    <row r="42" spans="1:5" x14ac:dyDescent="0.25">
      <c r="A42" s="12"/>
      <c r="B42" s="8"/>
      <c r="C42" s="8"/>
      <c r="D42" s="8"/>
      <c r="E42" s="13"/>
    </row>
    <row r="43" spans="1:5" x14ac:dyDescent="0.25">
      <c r="A43" s="12"/>
      <c r="B43" s="8"/>
      <c r="C43" s="8"/>
      <c r="D43" s="8"/>
      <c r="E43" s="13"/>
    </row>
    <row r="44" spans="1:5" x14ac:dyDescent="0.25">
      <c r="A44" s="12"/>
      <c r="B44" s="8"/>
      <c r="C44" s="8"/>
      <c r="D44" s="8"/>
      <c r="E44" s="13"/>
    </row>
    <row r="45" spans="1:5" x14ac:dyDescent="0.25">
      <c r="A45" s="12"/>
      <c r="B45" s="8"/>
      <c r="C45" s="8"/>
      <c r="D45" s="8"/>
      <c r="E45" s="13"/>
    </row>
    <row r="46" spans="1:5" x14ac:dyDescent="0.25">
      <c r="A46" s="12"/>
      <c r="B46" s="8"/>
      <c r="C46" s="8"/>
      <c r="D46" s="8"/>
      <c r="E46" s="13"/>
    </row>
    <row r="47" spans="1:5" x14ac:dyDescent="0.25">
      <c r="A47" s="12"/>
      <c r="B47" s="8"/>
      <c r="C47" s="8"/>
      <c r="D47" s="8"/>
      <c r="E47" s="13"/>
    </row>
    <row r="48" spans="1:5" x14ac:dyDescent="0.25">
      <c r="A48" s="12"/>
      <c r="B48" s="8"/>
      <c r="C48" s="8"/>
      <c r="D48" s="8"/>
      <c r="E48" s="13"/>
    </row>
    <row r="49" spans="1:5" x14ac:dyDescent="0.25">
      <c r="A49" s="12"/>
      <c r="B49" s="8"/>
      <c r="C49" s="8"/>
      <c r="D49" s="8"/>
      <c r="E49" s="13"/>
    </row>
    <row r="50" spans="1:5" x14ac:dyDescent="0.25">
      <c r="A50" s="12"/>
      <c r="B50" s="8"/>
      <c r="C50" s="8"/>
      <c r="D50" s="8"/>
      <c r="E50" s="13"/>
    </row>
    <row r="51" spans="1:5" x14ac:dyDescent="0.25">
      <c r="A51" s="12"/>
      <c r="B51" s="8"/>
      <c r="C51" s="8"/>
      <c r="D51" s="8"/>
      <c r="E51" s="13"/>
    </row>
    <row r="52" spans="1:5" x14ac:dyDescent="0.25">
      <c r="A52" s="12"/>
      <c r="B52" s="8"/>
      <c r="C52" s="8"/>
      <c r="D52" s="8"/>
      <c r="E52" s="13"/>
    </row>
    <row r="53" spans="1:5" x14ac:dyDescent="0.25">
      <c r="A53" s="12"/>
      <c r="B53" s="8"/>
      <c r="C53" s="8"/>
      <c r="D53" s="8"/>
      <c r="E53" s="13"/>
    </row>
    <row r="54" spans="1:5" x14ac:dyDescent="0.25">
      <c r="A54" s="12"/>
      <c r="B54" s="8"/>
      <c r="C54" s="8"/>
      <c r="D54" s="8"/>
      <c r="E54" s="13"/>
    </row>
    <row r="55" spans="1:5" x14ac:dyDescent="0.25">
      <c r="A55" s="12"/>
      <c r="B55" s="8"/>
      <c r="C55" s="8"/>
      <c r="D55" s="8"/>
      <c r="E55" s="13"/>
    </row>
    <row r="56" spans="1:5" x14ac:dyDescent="0.25">
      <c r="A56" s="12"/>
      <c r="B56" s="8"/>
      <c r="C56" s="8"/>
      <c r="D56" s="8"/>
      <c r="E56" s="13"/>
    </row>
    <row r="57" spans="1:5" x14ac:dyDescent="0.25">
      <c r="A57" s="12"/>
      <c r="B57" s="8"/>
      <c r="C57" s="8"/>
      <c r="D57" s="8"/>
      <c r="E57" s="13"/>
    </row>
    <row r="58" spans="1:5" x14ac:dyDescent="0.25">
      <c r="A58" s="12"/>
      <c r="B58" s="8"/>
      <c r="C58" s="8"/>
      <c r="D58" s="8"/>
      <c r="E58" s="13"/>
    </row>
    <row r="59" spans="1:5" x14ac:dyDescent="0.25">
      <c r="A59" s="12"/>
      <c r="B59" s="8"/>
      <c r="C59" s="8"/>
      <c r="D59" s="8"/>
      <c r="E59" s="13"/>
    </row>
    <row r="60" spans="1:5" x14ac:dyDescent="0.25">
      <c r="A60" s="12"/>
      <c r="B60" s="8"/>
      <c r="C60" s="8"/>
      <c r="D60" s="8"/>
      <c r="E60" s="13"/>
    </row>
    <row r="61" spans="1:5" x14ac:dyDescent="0.25">
      <c r="A61" s="12"/>
      <c r="B61" s="8"/>
      <c r="C61" s="8"/>
      <c r="D61" s="8"/>
      <c r="E61" s="13"/>
    </row>
    <row r="62" spans="1:5" x14ac:dyDescent="0.25">
      <c r="A62" s="12"/>
      <c r="B62" s="8"/>
      <c r="C62" s="8"/>
      <c r="D62" s="8"/>
      <c r="E62" s="13"/>
    </row>
    <row r="63" spans="1:5" x14ac:dyDescent="0.25">
      <c r="A63" s="12"/>
      <c r="B63" s="8"/>
      <c r="C63" s="8"/>
      <c r="D63" s="8"/>
      <c r="E63" s="13"/>
    </row>
    <row r="64" spans="1:5" x14ac:dyDescent="0.25">
      <c r="A64" s="12"/>
      <c r="B64" s="8"/>
      <c r="C64" s="8"/>
      <c r="D64" s="8"/>
      <c r="E64" s="13"/>
    </row>
    <row r="65" spans="1:5" x14ac:dyDescent="0.25">
      <c r="A65" s="12"/>
      <c r="B65" s="8"/>
      <c r="C65" s="8"/>
      <c r="D65" s="8"/>
      <c r="E65" s="13"/>
    </row>
    <row r="66" spans="1:5" x14ac:dyDescent="0.25">
      <c r="A66" s="12"/>
      <c r="B66" s="8"/>
      <c r="C66" s="8"/>
      <c r="D66" s="8"/>
      <c r="E66" s="13"/>
    </row>
    <row r="67" spans="1:5" x14ac:dyDescent="0.25">
      <c r="A67" s="12"/>
      <c r="B67" s="8"/>
      <c r="C67" s="8"/>
      <c r="D67" s="8"/>
      <c r="E67" s="13"/>
    </row>
    <row r="68" spans="1:5" x14ac:dyDescent="0.25">
      <c r="A68" s="12"/>
      <c r="B68" s="8"/>
      <c r="C68" s="8"/>
      <c r="D68" s="8"/>
      <c r="E68" s="13"/>
    </row>
    <row r="69" spans="1:5" x14ac:dyDescent="0.25">
      <c r="A69" s="12"/>
      <c r="B69" s="8"/>
      <c r="C69" s="8"/>
      <c r="D69" s="8"/>
      <c r="E69" s="13"/>
    </row>
    <row r="70" spans="1:5" x14ac:dyDescent="0.25">
      <c r="A70" s="12"/>
      <c r="B70" s="8"/>
      <c r="C70" s="8"/>
      <c r="D70" s="8"/>
      <c r="E70" s="13"/>
    </row>
    <row r="71" spans="1:5" x14ac:dyDescent="0.25">
      <c r="A71" s="12"/>
      <c r="B71" s="8"/>
      <c r="C71" s="8"/>
      <c r="D71" s="8"/>
      <c r="E71" s="13"/>
    </row>
    <row r="72" spans="1:5" x14ac:dyDescent="0.25">
      <c r="A72" s="12"/>
      <c r="B72" s="8"/>
      <c r="C72" s="8"/>
      <c r="D72" s="8"/>
      <c r="E72" s="13"/>
    </row>
    <row r="73" spans="1:5" x14ac:dyDescent="0.25">
      <c r="A73" s="12"/>
      <c r="B73" s="8"/>
      <c r="C73" s="8"/>
      <c r="D73" s="8"/>
      <c r="E73" s="13"/>
    </row>
    <row r="74" spans="1:5" x14ac:dyDescent="0.25">
      <c r="A74" s="12"/>
      <c r="B74" s="8"/>
      <c r="C74" s="8"/>
      <c r="D74" s="8"/>
      <c r="E74" s="13"/>
    </row>
    <row r="75" spans="1:5" x14ac:dyDescent="0.25">
      <c r="A75" s="12"/>
      <c r="B75" s="8"/>
      <c r="C75" s="8"/>
      <c r="D75" s="8"/>
      <c r="E75" s="13"/>
    </row>
    <row r="76" spans="1:5" x14ac:dyDescent="0.25">
      <c r="A76" s="12"/>
      <c r="B76" s="8"/>
      <c r="C76" s="8"/>
      <c r="D76" s="8"/>
      <c r="E76" s="13"/>
    </row>
    <row r="77" spans="1:5" x14ac:dyDescent="0.25">
      <c r="A77" s="12"/>
      <c r="B77" s="8"/>
      <c r="C77" s="8"/>
      <c r="D77" s="8"/>
      <c r="E77" s="13"/>
    </row>
    <row r="78" spans="1:5" x14ac:dyDescent="0.25">
      <c r="A78" s="12"/>
      <c r="B78" s="8"/>
      <c r="C78" s="8"/>
      <c r="D78" s="8"/>
      <c r="E78" s="13"/>
    </row>
    <row r="79" spans="1:5" x14ac:dyDescent="0.25">
      <c r="A79" s="12"/>
      <c r="B79" s="8"/>
      <c r="C79" s="8"/>
      <c r="D79" s="8"/>
      <c r="E79" s="13"/>
    </row>
    <row r="80" spans="1:5" x14ac:dyDescent="0.25">
      <c r="A80" s="12"/>
      <c r="B80" s="8"/>
      <c r="C80" s="8"/>
      <c r="D80" s="8"/>
      <c r="E80" s="13"/>
    </row>
    <row r="81" spans="1:5" x14ac:dyDescent="0.25">
      <c r="A81" s="12"/>
      <c r="B81" s="8"/>
      <c r="C81" s="8"/>
      <c r="D81" s="8"/>
      <c r="E81" s="13"/>
    </row>
    <row r="82" spans="1:5" x14ac:dyDescent="0.25">
      <c r="A82" s="12"/>
      <c r="B82" s="8"/>
      <c r="C82" s="8"/>
      <c r="D82" s="8"/>
      <c r="E82" s="13"/>
    </row>
    <row r="83" spans="1:5" x14ac:dyDescent="0.25">
      <c r="A83" s="12"/>
      <c r="B83" s="8"/>
      <c r="C83" s="8"/>
      <c r="D83" s="8"/>
      <c r="E83" s="13"/>
    </row>
    <row r="84" spans="1:5" x14ac:dyDescent="0.25">
      <c r="A84" s="12"/>
      <c r="B84" s="8"/>
      <c r="C84" s="8"/>
      <c r="D84" s="8"/>
      <c r="E84" s="13"/>
    </row>
    <row r="85" spans="1:5" x14ac:dyDescent="0.25">
      <c r="A85" s="12"/>
      <c r="B85" s="8"/>
      <c r="C85" s="8"/>
      <c r="D85" s="8"/>
      <c r="E85" s="13"/>
    </row>
    <row r="86" spans="1:5" x14ac:dyDescent="0.25">
      <c r="A86" s="12"/>
      <c r="B86" s="8"/>
      <c r="C86" s="8"/>
      <c r="D86" s="8"/>
      <c r="E86" s="13"/>
    </row>
    <row r="87" spans="1:5" x14ac:dyDescent="0.25">
      <c r="A87" s="12"/>
      <c r="B87" s="8"/>
      <c r="C87" s="8"/>
      <c r="D87" s="8"/>
      <c r="E87" s="13"/>
    </row>
    <row r="88" spans="1:5" x14ac:dyDescent="0.25">
      <c r="A88" s="12"/>
      <c r="B88" s="8"/>
      <c r="C88" s="8"/>
      <c r="D88" s="8"/>
      <c r="E88" s="13"/>
    </row>
    <row r="89" spans="1:5" x14ac:dyDescent="0.25">
      <c r="A89" s="12"/>
      <c r="B89" s="8"/>
      <c r="C89" s="8"/>
      <c r="D89" s="8"/>
      <c r="E89" s="13"/>
    </row>
    <row r="90" spans="1:5" x14ac:dyDescent="0.25">
      <c r="A90" s="12"/>
      <c r="B90" s="8"/>
      <c r="C90" s="8"/>
      <c r="D90" s="8"/>
      <c r="E90" s="13"/>
    </row>
    <row r="91" spans="1:5" x14ac:dyDescent="0.25">
      <c r="A91" s="12"/>
      <c r="B91" s="8"/>
      <c r="C91" s="8"/>
      <c r="D91" s="8"/>
      <c r="E91" s="13"/>
    </row>
    <row r="92" spans="1:5" x14ac:dyDescent="0.25">
      <c r="A92" s="12"/>
      <c r="B92" s="8"/>
      <c r="C92" s="8"/>
      <c r="D92" s="8"/>
      <c r="E92" s="13"/>
    </row>
    <row r="93" spans="1:5" x14ac:dyDescent="0.25">
      <c r="A93" s="12"/>
      <c r="B93" s="8"/>
      <c r="C93" s="8"/>
      <c r="D93" s="8"/>
      <c r="E93" s="13"/>
    </row>
    <row r="94" spans="1:5" x14ac:dyDescent="0.25">
      <c r="A94" s="12"/>
      <c r="B94" s="8"/>
      <c r="C94" s="8"/>
      <c r="D94" s="8"/>
      <c r="E94" s="13"/>
    </row>
    <row r="95" spans="1:5" x14ac:dyDescent="0.25">
      <c r="A95" s="12"/>
      <c r="B95" s="8"/>
      <c r="C95" s="8"/>
      <c r="D95" s="8"/>
      <c r="E95" s="13"/>
    </row>
    <row r="96" spans="1:5" x14ac:dyDescent="0.25">
      <c r="A96" s="12"/>
      <c r="B96" s="8"/>
      <c r="C96" s="8"/>
      <c r="D96" s="8"/>
      <c r="E96" s="13"/>
    </row>
    <row r="97" spans="1:5" x14ac:dyDescent="0.25">
      <c r="A97" s="12"/>
      <c r="B97" s="8"/>
      <c r="C97" s="8"/>
      <c r="D97" s="8"/>
      <c r="E97" s="13"/>
    </row>
    <row r="98" spans="1:5" x14ac:dyDescent="0.25">
      <c r="A98" s="12"/>
      <c r="B98" s="8"/>
      <c r="C98" s="8"/>
      <c r="D98" s="8"/>
      <c r="E98" s="13"/>
    </row>
    <row r="99" spans="1:5" x14ac:dyDescent="0.25">
      <c r="A99" s="12"/>
      <c r="B99" s="8"/>
      <c r="C99" s="8"/>
      <c r="D99" s="8"/>
      <c r="E99" s="13"/>
    </row>
    <row r="100" spans="1:5" x14ac:dyDescent="0.25">
      <c r="A100" s="12"/>
      <c r="B100" s="8"/>
      <c r="C100" s="8"/>
      <c r="D100" s="8"/>
      <c r="E100" s="13"/>
    </row>
    <row r="101" spans="1:5" x14ac:dyDescent="0.25">
      <c r="A101" s="12"/>
      <c r="B101" s="8"/>
      <c r="C101" s="8"/>
      <c r="D101" s="8"/>
      <c r="E101" s="13"/>
    </row>
    <row r="102" spans="1:5" x14ac:dyDescent="0.25">
      <c r="A102" s="12"/>
      <c r="B102" s="8"/>
      <c r="C102" s="8"/>
      <c r="D102" s="8"/>
      <c r="E102" s="13"/>
    </row>
    <row r="103" spans="1:5" x14ac:dyDescent="0.25">
      <c r="A103" s="12"/>
      <c r="B103" s="8"/>
      <c r="C103" s="8"/>
      <c r="D103" s="8"/>
      <c r="E103" s="13"/>
    </row>
    <row r="104" spans="1:5" x14ac:dyDescent="0.25">
      <c r="A104" s="12"/>
      <c r="B104" s="8"/>
      <c r="C104" s="8"/>
      <c r="D104" s="8"/>
      <c r="E104" s="13"/>
    </row>
    <row r="105" spans="1:5" x14ac:dyDescent="0.25">
      <c r="A105" s="12"/>
      <c r="B105" s="8"/>
      <c r="C105" s="8"/>
      <c r="D105" s="8"/>
      <c r="E105" s="13"/>
    </row>
    <row r="106" spans="1:5" x14ac:dyDescent="0.25">
      <c r="A106" s="12"/>
      <c r="B106" s="8"/>
      <c r="C106" s="8"/>
      <c r="D106" s="8"/>
      <c r="E106" s="13"/>
    </row>
    <row r="107" spans="1:5" x14ac:dyDescent="0.25">
      <c r="A107" s="12"/>
      <c r="B107" s="8"/>
      <c r="C107" s="8"/>
      <c r="D107" s="8"/>
      <c r="E107" s="13"/>
    </row>
    <row r="108" spans="1:5" x14ac:dyDescent="0.25">
      <c r="A108" s="12"/>
      <c r="B108" s="8"/>
      <c r="C108" s="8"/>
      <c r="D108" s="8"/>
      <c r="E108" s="13"/>
    </row>
    <row r="109" spans="1:5" x14ac:dyDescent="0.25">
      <c r="A109" s="12"/>
      <c r="B109" s="8"/>
      <c r="C109" s="8"/>
      <c r="D109" s="8"/>
      <c r="E109" s="13"/>
    </row>
    <row r="110" spans="1:5" x14ac:dyDescent="0.25">
      <c r="A110" s="12"/>
      <c r="B110" s="8"/>
      <c r="C110" s="8"/>
      <c r="D110" s="8"/>
      <c r="E110" s="13"/>
    </row>
    <row r="111" spans="1:5" x14ac:dyDescent="0.25">
      <c r="A111" s="12"/>
      <c r="B111" s="8"/>
      <c r="C111" s="8"/>
      <c r="D111" s="8"/>
      <c r="E111" s="13"/>
    </row>
    <row r="112" spans="1:5" x14ac:dyDescent="0.25">
      <c r="A112" s="12"/>
      <c r="B112" s="8"/>
      <c r="C112" s="8"/>
      <c r="D112" s="8"/>
      <c r="E112" s="13"/>
    </row>
    <row r="113" spans="1:5" x14ac:dyDescent="0.25">
      <c r="A113" s="12"/>
      <c r="B113" s="8"/>
      <c r="C113" s="8"/>
      <c r="D113" s="8"/>
      <c r="E113" s="13"/>
    </row>
    <row r="114" spans="1:5" x14ac:dyDescent="0.25">
      <c r="A114" s="12"/>
      <c r="B114" s="8"/>
      <c r="C114" s="8"/>
      <c r="D114" s="8"/>
      <c r="E114" s="13"/>
    </row>
    <row r="115" spans="1:5" x14ac:dyDescent="0.25">
      <c r="A115" s="12"/>
      <c r="B115" s="8"/>
      <c r="C115" s="8"/>
      <c r="D115" s="8"/>
      <c r="E115" s="13"/>
    </row>
    <row r="116" spans="1:5" x14ac:dyDescent="0.25">
      <c r="A116" s="12"/>
      <c r="B116" s="8"/>
      <c r="C116" s="8"/>
      <c r="D116" s="8"/>
      <c r="E116" s="13"/>
    </row>
    <row r="117" spans="1:5" x14ac:dyDescent="0.25">
      <c r="A117" s="12"/>
      <c r="B117" s="8"/>
      <c r="C117" s="8"/>
      <c r="D117" s="8"/>
      <c r="E117" s="13"/>
    </row>
    <row r="118" spans="1:5" x14ac:dyDescent="0.25">
      <c r="A118" s="12"/>
      <c r="B118" s="8"/>
      <c r="C118" s="8"/>
      <c r="D118" s="8"/>
      <c r="E118" s="13"/>
    </row>
    <row r="119" spans="1:5" x14ac:dyDescent="0.25">
      <c r="A119" s="12"/>
      <c r="B119" s="8"/>
      <c r="C119" s="8"/>
      <c r="D119" s="8"/>
      <c r="E119" s="13"/>
    </row>
    <row r="120" spans="1:5" x14ac:dyDescent="0.25">
      <c r="A120" s="12"/>
      <c r="B120" s="8"/>
      <c r="C120" s="8"/>
      <c r="D120" s="8"/>
      <c r="E120" s="13"/>
    </row>
    <row r="121" spans="1:5" x14ac:dyDescent="0.25">
      <c r="A121" s="12"/>
      <c r="B121" s="8"/>
      <c r="C121" s="8"/>
      <c r="D121" s="8"/>
      <c r="E121" s="13"/>
    </row>
    <row r="122" spans="1:5" x14ac:dyDescent="0.25">
      <c r="A122" s="12"/>
      <c r="B122" s="8"/>
      <c r="C122" s="8"/>
      <c r="D122" s="8"/>
      <c r="E122" s="13"/>
    </row>
    <row r="123" spans="1:5" x14ac:dyDescent="0.25">
      <c r="A123" s="12"/>
      <c r="B123" s="8"/>
      <c r="C123" s="8"/>
      <c r="D123" s="8"/>
      <c r="E123" s="13"/>
    </row>
    <row r="124" spans="1:5" x14ac:dyDescent="0.25">
      <c r="A124" s="12"/>
      <c r="B124" s="8"/>
      <c r="C124" s="8"/>
      <c r="D124" s="8"/>
      <c r="E124" s="13"/>
    </row>
    <row r="125" spans="1:5" x14ac:dyDescent="0.25">
      <c r="A125" s="12"/>
      <c r="B125" s="8"/>
      <c r="C125" s="8"/>
      <c r="D125" s="8"/>
      <c r="E125" s="13"/>
    </row>
    <row r="126" spans="1:5" x14ac:dyDescent="0.25">
      <c r="A126" s="12"/>
      <c r="B126" s="8"/>
      <c r="C126" s="8"/>
      <c r="D126" s="8"/>
      <c r="E126" s="13"/>
    </row>
    <row r="127" spans="1:5" x14ac:dyDescent="0.25">
      <c r="A127" s="12"/>
      <c r="B127" s="8"/>
      <c r="C127" s="8"/>
      <c r="D127" s="8"/>
      <c r="E127" s="13"/>
    </row>
    <row r="128" spans="1:5" x14ac:dyDescent="0.25">
      <c r="A128" s="12"/>
      <c r="B128" s="8"/>
      <c r="C128" s="8"/>
      <c r="D128" s="8"/>
      <c r="E128" s="13"/>
    </row>
    <row r="129" spans="1:5" x14ac:dyDescent="0.25">
      <c r="A129" s="12"/>
      <c r="B129" s="8"/>
      <c r="C129" s="8"/>
      <c r="D129" s="8"/>
      <c r="E129" s="13"/>
    </row>
    <row r="130" spans="1:5" x14ac:dyDescent="0.25">
      <c r="A130" s="12"/>
      <c r="B130" s="8"/>
      <c r="C130" s="8"/>
      <c r="D130" s="8"/>
      <c r="E130" s="13"/>
    </row>
    <row r="131" spans="1:5" x14ac:dyDescent="0.25">
      <c r="A131" s="12"/>
      <c r="B131" s="8"/>
      <c r="C131" s="8"/>
      <c r="D131" s="8"/>
      <c r="E131" s="13"/>
    </row>
    <row r="132" spans="1:5" x14ac:dyDescent="0.25">
      <c r="A132" s="12"/>
      <c r="B132" s="8"/>
      <c r="C132" s="8"/>
      <c r="D132" s="8"/>
      <c r="E132" s="13"/>
    </row>
    <row r="133" spans="1:5" x14ac:dyDescent="0.25">
      <c r="A133" s="12"/>
      <c r="B133" s="8"/>
      <c r="C133" s="8"/>
      <c r="D133" s="8"/>
      <c r="E133" s="13"/>
    </row>
    <row r="134" spans="1:5" x14ac:dyDescent="0.25">
      <c r="A134" s="12"/>
      <c r="B134" s="8"/>
      <c r="C134" s="8"/>
      <c r="D134" s="8"/>
      <c r="E134" s="13"/>
    </row>
    <row r="135" spans="1:5" x14ac:dyDescent="0.25">
      <c r="A135" s="12"/>
      <c r="B135" s="8"/>
      <c r="C135" s="8"/>
      <c r="D135" s="8"/>
      <c r="E135" s="13"/>
    </row>
    <row r="136" spans="1:5" x14ac:dyDescent="0.25">
      <c r="A136" s="12"/>
      <c r="B136" s="8"/>
      <c r="C136" s="8"/>
      <c r="D136" s="8"/>
      <c r="E136" s="13"/>
    </row>
    <row r="137" spans="1:5" x14ac:dyDescent="0.25">
      <c r="A137" s="12"/>
      <c r="B137" s="8"/>
      <c r="C137" s="8"/>
      <c r="D137" s="8"/>
      <c r="E137" s="13"/>
    </row>
    <row r="138" spans="1:5" x14ac:dyDescent="0.25">
      <c r="A138" s="12"/>
      <c r="B138" s="8"/>
      <c r="C138" s="8"/>
      <c r="D138" s="8"/>
      <c r="E138" s="13"/>
    </row>
    <row r="139" spans="1:5" x14ac:dyDescent="0.25">
      <c r="A139" s="12"/>
      <c r="B139" s="8"/>
      <c r="C139" s="8"/>
      <c r="D139" s="8"/>
      <c r="E139" s="13"/>
    </row>
    <row r="140" spans="1:5" x14ac:dyDescent="0.25">
      <c r="A140" s="12"/>
      <c r="B140" s="8"/>
      <c r="C140" s="8"/>
      <c r="D140" s="8"/>
      <c r="E140" s="13"/>
    </row>
    <row r="141" spans="1:5" x14ac:dyDescent="0.25">
      <c r="A141" s="12"/>
      <c r="B141" s="8"/>
      <c r="C141" s="8"/>
      <c r="D141" s="8"/>
      <c r="E141" s="13"/>
    </row>
    <row r="142" spans="1:5" x14ac:dyDescent="0.25">
      <c r="A142" s="12"/>
      <c r="B142" s="8"/>
      <c r="C142" s="8"/>
      <c r="D142" s="8"/>
      <c r="E142" s="13"/>
    </row>
    <row r="143" spans="1:5" x14ac:dyDescent="0.25">
      <c r="A143" s="12"/>
      <c r="B143" s="8"/>
      <c r="C143" s="8"/>
      <c r="D143" s="8"/>
      <c r="E143" s="13"/>
    </row>
    <row r="144" spans="1:5" x14ac:dyDescent="0.25">
      <c r="A144" s="12"/>
      <c r="B144" s="8"/>
      <c r="C144" s="8"/>
      <c r="D144" s="8"/>
      <c r="E144" s="13"/>
    </row>
    <row r="145" spans="1:5" x14ac:dyDescent="0.25">
      <c r="A145" s="12"/>
      <c r="B145" s="8"/>
      <c r="C145" s="8"/>
      <c r="D145" s="8"/>
      <c r="E145" s="13"/>
    </row>
    <row r="146" spans="1:5" x14ac:dyDescent="0.25">
      <c r="A146" s="12"/>
      <c r="B146" s="8"/>
      <c r="C146" s="8"/>
      <c r="D146" s="8"/>
      <c r="E146" s="13"/>
    </row>
    <row r="147" spans="1:5" x14ac:dyDescent="0.25">
      <c r="A147" s="12"/>
      <c r="B147" s="8"/>
      <c r="C147" s="8"/>
      <c r="D147" s="8"/>
      <c r="E147" s="13"/>
    </row>
    <row r="148" spans="1:5" x14ac:dyDescent="0.25">
      <c r="A148" s="12"/>
      <c r="B148" s="8"/>
      <c r="C148" s="8"/>
      <c r="D148" s="8"/>
      <c r="E148" s="13"/>
    </row>
    <row r="149" spans="1:5" x14ac:dyDescent="0.25">
      <c r="A149" s="12"/>
      <c r="B149" s="8"/>
      <c r="C149" s="8"/>
      <c r="D149" s="8"/>
      <c r="E149" s="13"/>
    </row>
    <row r="150" spans="1:5" x14ac:dyDescent="0.25">
      <c r="A150" s="12"/>
      <c r="B150" s="8"/>
      <c r="C150" s="8"/>
      <c r="D150" s="8"/>
      <c r="E150" s="13"/>
    </row>
    <row r="151" spans="1:5" x14ac:dyDescent="0.25">
      <c r="A151" s="12"/>
      <c r="B151" s="8"/>
      <c r="C151" s="8"/>
      <c r="D151" s="8"/>
      <c r="E151" s="13"/>
    </row>
    <row r="152" spans="1:5" x14ac:dyDescent="0.25">
      <c r="A152" s="12"/>
      <c r="B152" s="8"/>
      <c r="C152" s="8"/>
      <c r="D152" s="8"/>
      <c r="E152" s="13"/>
    </row>
    <row r="153" spans="1:5" x14ac:dyDescent="0.25">
      <c r="A153" s="12"/>
      <c r="B153" s="8"/>
      <c r="C153" s="8"/>
      <c r="D153" s="8"/>
      <c r="E153" s="13"/>
    </row>
    <row r="154" spans="1:5" x14ac:dyDescent="0.25">
      <c r="A154" s="12"/>
      <c r="B154" s="8"/>
      <c r="C154" s="8"/>
      <c r="D154" s="8"/>
      <c r="E154" s="13"/>
    </row>
    <row r="155" spans="1:5" x14ac:dyDescent="0.25">
      <c r="A155" s="12"/>
      <c r="B155" s="8"/>
      <c r="C155" s="8"/>
      <c r="D155" s="8"/>
      <c r="E155" s="13"/>
    </row>
    <row r="156" spans="1:5" x14ac:dyDescent="0.25">
      <c r="A156" s="12"/>
      <c r="B156" s="8"/>
      <c r="C156" s="8"/>
      <c r="D156" s="8"/>
      <c r="E156" s="13"/>
    </row>
    <row r="157" spans="1:5" x14ac:dyDescent="0.25">
      <c r="A157" s="12"/>
      <c r="B157" s="8"/>
      <c r="C157" s="8"/>
      <c r="D157" s="8"/>
      <c r="E157" s="13"/>
    </row>
    <row r="158" spans="1:5" x14ac:dyDescent="0.25">
      <c r="A158" s="12"/>
      <c r="B158" s="8"/>
      <c r="C158" s="8"/>
      <c r="D158" s="8"/>
      <c r="E158" s="13"/>
    </row>
    <row r="159" spans="1:5" x14ac:dyDescent="0.25">
      <c r="A159" s="12"/>
      <c r="B159" s="8"/>
      <c r="C159" s="8"/>
      <c r="D159" s="8"/>
      <c r="E159" s="13"/>
    </row>
    <row r="160" spans="1:5" x14ac:dyDescent="0.25">
      <c r="A160" s="12"/>
      <c r="B160" s="8"/>
      <c r="C160" s="8"/>
      <c r="D160" s="8"/>
      <c r="E160" s="13"/>
    </row>
    <row r="161" spans="1:5" x14ac:dyDescent="0.25">
      <c r="A161" s="12"/>
      <c r="B161" s="8"/>
      <c r="C161" s="8"/>
      <c r="D161" s="8"/>
      <c r="E161" s="13"/>
    </row>
    <row r="162" spans="1:5" x14ac:dyDescent="0.25">
      <c r="A162" s="12"/>
      <c r="B162" s="8"/>
      <c r="C162" s="8"/>
      <c r="D162" s="8"/>
      <c r="E162" s="13"/>
    </row>
    <row r="163" spans="1:5" x14ac:dyDescent="0.25">
      <c r="A163" s="12"/>
      <c r="B163" s="8"/>
      <c r="C163" s="8"/>
      <c r="D163" s="8"/>
      <c r="E163" s="13"/>
    </row>
    <row r="164" spans="1:5" x14ac:dyDescent="0.25">
      <c r="A164" s="12"/>
      <c r="B164" s="8"/>
      <c r="C164" s="8"/>
      <c r="D164" s="8"/>
      <c r="E164" s="13"/>
    </row>
    <row r="165" spans="1:5" x14ac:dyDescent="0.25">
      <c r="A165" s="12"/>
      <c r="B165" s="8"/>
      <c r="C165" s="8"/>
      <c r="D165" s="8"/>
      <c r="E165" s="13"/>
    </row>
    <row r="166" spans="1:5" x14ac:dyDescent="0.25">
      <c r="A166" s="12"/>
      <c r="B166" s="8"/>
      <c r="C166" s="8"/>
      <c r="D166" s="8"/>
      <c r="E166" s="13"/>
    </row>
    <row r="167" spans="1:5" x14ac:dyDescent="0.25">
      <c r="A167" s="12"/>
      <c r="B167" s="8"/>
      <c r="C167" s="8"/>
      <c r="D167" s="8"/>
      <c r="E167" s="13"/>
    </row>
    <row r="168" spans="1:5" x14ac:dyDescent="0.25">
      <c r="A168" s="12"/>
      <c r="B168" s="8"/>
      <c r="C168" s="8"/>
      <c r="D168" s="8"/>
      <c r="E168" s="13"/>
    </row>
    <row r="169" spans="1:5" x14ac:dyDescent="0.25">
      <c r="A169" s="12"/>
      <c r="B169" s="8"/>
      <c r="C169" s="8"/>
      <c r="D169" s="8"/>
      <c r="E169" s="13"/>
    </row>
    <row r="170" spans="1:5" x14ac:dyDescent="0.25">
      <c r="A170" s="12"/>
      <c r="B170" s="8"/>
      <c r="C170" s="8"/>
      <c r="D170" s="8"/>
      <c r="E170" s="13"/>
    </row>
    <row r="171" spans="1:5" x14ac:dyDescent="0.25">
      <c r="A171" s="12"/>
      <c r="B171" s="8"/>
      <c r="C171" s="8"/>
      <c r="D171" s="8"/>
      <c r="E171" s="13"/>
    </row>
    <row r="172" spans="1:5" x14ac:dyDescent="0.25">
      <c r="A172" s="12"/>
      <c r="B172" s="8"/>
      <c r="C172" s="8"/>
      <c r="D172" s="8"/>
      <c r="E172" s="13"/>
    </row>
    <row r="173" spans="1:5" x14ac:dyDescent="0.25">
      <c r="A173" s="12"/>
      <c r="B173" s="8"/>
      <c r="C173" s="8"/>
      <c r="D173" s="8"/>
      <c r="E173" s="13"/>
    </row>
    <row r="174" spans="1:5" x14ac:dyDescent="0.25">
      <c r="A174" s="12"/>
      <c r="B174" s="8"/>
      <c r="C174" s="8"/>
      <c r="D174" s="8"/>
      <c r="E174" s="13"/>
    </row>
    <row r="175" spans="1:5" x14ac:dyDescent="0.25">
      <c r="A175" s="12"/>
      <c r="B175" s="8"/>
      <c r="C175" s="8"/>
      <c r="D175" s="8"/>
      <c r="E175" s="13"/>
    </row>
    <row r="176" spans="1:5" x14ac:dyDescent="0.25">
      <c r="A176" s="12"/>
      <c r="B176" s="8"/>
      <c r="C176" s="8"/>
      <c r="D176" s="8"/>
      <c r="E176" s="13"/>
    </row>
    <row r="177" spans="1:5" x14ac:dyDescent="0.25">
      <c r="A177" s="12"/>
      <c r="B177" s="8"/>
      <c r="C177" s="8"/>
      <c r="D177" s="8"/>
      <c r="E177" s="13"/>
    </row>
    <row r="178" spans="1:5" x14ac:dyDescent="0.25">
      <c r="A178" s="12"/>
      <c r="B178" s="8"/>
      <c r="C178" s="8"/>
      <c r="D178" s="8"/>
      <c r="E178" s="13"/>
    </row>
    <row r="179" spans="1:5" x14ac:dyDescent="0.25">
      <c r="A179" s="12"/>
      <c r="B179" s="8"/>
      <c r="C179" s="8"/>
      <c r="D179" s="8"/>
      <c r="E179" s="13"/>
    </row>
    <row r="180" spans="1:5" x14ac:dyDescent="0.25">
      <c r="A180" s="12"/>
      <c r="B180" s="8"/>
      <c r="C180" s="8"/>
      <c r="D180" s="8"/>
      <c r="E180" s="13"/>
    </row>
    <row r="181" spans="1:5" x14ac:dyDescent="0.25">
      <c r="A181" s="12"/>
      <c r="B181" s="8"/>
      <c r="C181" s="8"/>
      <c r="D181" s="8"/>
      <c r="E181" s="13"/>
    </row>
    <row r="182" spans="1:5" x14ac:dyDescent="0.25">
      <c r="A182" s="12"/>
      <c r="B182" s="8"/>
      <c r="C182" s="8"/>
      <c r="D182" s="8"/>
      <c r="E182" s="13"/>
    </row>
    <row r="183" spans="1:5" x14ac:dyDescent="0.25">
      <c r="A183" s="12"/>
      <c r="B183" s="8"/>
      <c r="C183" s="8"/>
      <c r="D183" s="8"/>
      <c r="E183" s="13"/>
    </row>
    <row r="184" spans="1:5" x14ac:dyDescent="0.25">
      <c r="A184" s="12"/>
      <c r="B184" s="8"/>
      <c r="C184" s="8"/>
      <c r="D184" s="8"/>
      <c r="E184" s="13"/>
    </row>
    <row r="185" spans="1:5" x14ac:dyDescent="0.25">
      <c r="A185" s="12"/>
      <c r="B185" s="8"/>
      <c r="C185" s="8"/>
      <c r="D185" s="8"/>
      <c r="E185" s="13"/>
    </row>
    <row r="186" spans="1:5" x14ac:dyDescent="0.25">
      <c r="A186" s="12"/>
      <c r="B186" s="8"/>
      <c r="C186" s="8"/>
      <c r="D186" s="8"/>
      <c r="E186" s="13"/>
    </row>
    <row r="187" spans="1:5" x14ac:dyDescent="0.25">
      <c r="A187" s="12"/>
      <c r="B187" s="8"/>
      <c r="C187" s="8"/>
      <c r="D187" s="8"/>
      <c r="E187" s="13"/>
    </row>
    <row r="188" spans="1:5" x14ac:dyDescent="0.25">
      <c r="A188" s="12"/>
      <c r="B188" s="8"/>
      <c r="C188" s="8"/>
      <c r="D188" s="8"/>
      <c r="E188" s="13"/>
    </row>
    <row r="189" spans="1:5" x14ac:dyDescent="0.25">
      <c r="A189" s="12"/>
      <c r="B189" s="8"/>
      <c r="C189" s="8"/>
      <c r="D189" s="8"/>
      <c r="E189" s="13"/>
    </row>
    <row r="190" spans="1:5" x14ac:dyDescent="0.25">
      <c r="A190" s="12"/>
      <c r="B190" s="8"/>
      <c r="C190" s="8"/>
      <c r="D190" s="8"/>
      <c r="E190" s="13"/>
    </row>
    <row r="191" spans="1:5" x14ac:dyDescent="0.25">
      <c r="A191" s="12"/>
      <c r="B191" s="8"/>
      <c r="C191" s="8"/>
      <c r="D191" s="8"/>
      <c r="E191" s="13"/>
    </row>
    <row r="192" spans="1:5" x14ac:dyDescent="0.25">
      <c r="A192" s="12"/>
      <c r="B192" s="8"/>
      <c r="C192" s="8"/>
      <c r="D192" s="8"/>
      <c r="E192" s="13"/>
    </row>
    <row r="193" spans="1:5" x14ac:dyDescent="0.25">
      <c r="A193" s="12"/>
      <c r="B193" s="8"/>
      <c r="C193" s="8"/>
      <c r="D193" s="8"/>
      <c r="E193" s="13"/>
    </row>
    <row r="194" spans="1:5" x14ac:dyDescent="0.25">
      <c r="A194" s="12"/>
      <c r="B194" s="8"/>
      <c r="C194" s="8"/>
      <c r="D194" s="8"/>
      <c r="E194" s="13"/>
    </row>
    <row r="195" spans="1:5" x14ac:dyDescent="0.25">
      <c r="A195" s="12"/>
      <c r="B195" s="8"/>
      <c r="C195" s="8"/>
      <c r="D195" s="8"/>
      <c r="E195" s="13"/>
    </row>
    <row r="196" spans="1:5" x14ac:dyDescent="0.25">
      <c r="A196" s="12"/>
      <c r="B196" s="8"/>
      <c r="C196" s="8"/>
      <c r="D196" s="8"/>
      <c r="E196" s="13"/>
    </row>
    <row r="197" spans="1:5" x14ac:dyDescent="0.25">
      <c r="A197" s="12"/>
      <c r="B197" s="8"/>
      <c r="C197" s="8"/>
      <c r="D197" s="8"/>
      <c r="E197" s="13"/>
    </row>
    <row r="198" spans="1:5" x14ac:dyDescent="0.25">
      <c r="A198" s="12"/>
      <c r="B198" s="8"/>
      <c r="C198" s="8"/>
      <c r="D198" s="8"/>
      <c r="E198" s="13"/>
    </row>
    <row r="199" spans="1:5" x14ac:dyDescent="0.25">
      <c r="A199" s="12"/>
      <c r="B199" s="8"/>
      <c r="C199" s="8"/>
      <c r="D199" s="8"/>
      <c r="E199" s="13"/>
    </row>
    <row r="200" spans="1:5" x14ac:dyDescent="0.25">
      <c r="A200" s="12"/>
      <c r="B200" s="8"/>
      <c r="C200" s="8"/>
      <c r="D200" s="8"/>
      <c r="E200" s="13"/>
    </row>
    <row r="201" spans="1:5" x14ac:dyDescent="0.25">
      <c r="A201" s="12"/>
      <c r="B201" s="8"/>
      <c r="C201" s="8"/>
      <c r="D201" s="8"/>
      <c r="E201" s="13"/>
    </row>
    <row r="202" spans="1:5" x14ac:dyDescent="0.25">
      <c r="A202" s="12"/>
      <c r="B202" s="8"/>
      <c r="C202" s="8"/>
      <c r="D202" s="8"/>
      <c r="E202" s="13"/>
    </row>
    <row r="203" spans="1:5" x14ac:dyDescent="0.25">
      <c r="A203" s="12"/>
      <c r="B203" s="8"/>
      <c r="C203" s="8"/>
      <c r="D203" s="8"/>
      <c r="E203" s="13"/>
    </row>
    <row r="204" spans="1:5" x14ac:dyDescent="0.25">
      <c r="A204" s="12"/>
      <c r="B204" s="8"/>
      <c r="C204" s="8"/>
      <c r="D204" s="8"/>
      <c r="E204" s="13"/>
    </row>
    <row r="205" spans="1:5" x14ac:dyDescent="0.25">
      <c r="A205" s="12"/>
      <c r="B205" s="8"/>
      <c r="C205" s="8"/>
      <c r="D205" s="8"/>
      <c r="E205" s="13"/>
    </row>
    <row r="206" spans="1:5" x14ac:dyDescent="0.25">
      <c r="A206" s="12"/>
      <c r="B206" s="8"/>
      <c r="C206" s="8"/>
      <c r="D206" s="8"/>
      <c r="E206" s="13"/>
    </row>
    <row r="207" spans="1:5" x14ac:dyDescent="0.25">
      <c r="A207" s="12"/>
      <c r="B207" s="8"/>
      <c r="C207" s="8"/>
      <c r="D207" s="8"/>
      <c r="E207" s="13"/>
    </row>
    <row r="208" spans="1:5" x14ac:dyDescent="0.25">
      <c r="A208" s="12"/>
      <c r="B208" s="8"/>
      <c r="C208" s="8"/>
      <c r="D208" s="8"/>
      <c r="E208" s="13"/>
    </row>
    <row r="209" spans="1:5" x14ac:dyDescent="0.25">
      <c r="A209" s="12"/>
      <c r="B209" s="8"/>
      <c r="C209" s="8"/>
      <c r="D209" s="8"/>
      <c r="E209" s="13"/>
    </row>
    <row r="210" spans="1:5" x14ac:dyDescent="0.25">
      <c r="A210" s="12"/>
      <c r="B210" s="8"/>
      <c r="C210" s="8"/>
      <c r="D210" s="8"/>
      <c r="E210" s="13"/>
    </row>
    <row r="211" spans="1:5" x14ac:dyDescent="0.25">
      <c r="A211" s="12"/>
      <c r="B211" s="8"/>
      <c r="C211" s="8"/>
      <c r="D211" s="8"/>
      <c r="E211" s="13"/>
    </row>
    <row r="212" spans="1:5" x14ac:dyDescent="0.25">
      <c r="A212" s="12"/>
      <c r="B212" s="8"/>
      <c r="C212" s="8"/>
      <c r="D212" s="8"/>
      <c r="E212" s="13"/>
    </row>
    <row r="213" spans="1:5" x14ac:dyDescent="0.25">
      <c r="A213" s="12"/>
      <c r="B213" s="8"/>
      <c r="C213" s="8"/>
      <c r="D213" s="8"/>
      <c r="E213" s="13"/>
    </row>
    <row r="214" spans="1:5" x14ac:dyDescent="0.25">
      <c r="A214" s="12"/>
      <c r="B214" s="8"/>
      <c r="C214" s="8"/>
      <c r="D214" s="8"/>
      <c r="E214" s="13"/>
    </row>
    <row r="215" spans="1:5" x14ac:dyDescent="0.25">
      <c r="A215" s="12"/>
      <c r="B215" s="8"/>
      <c r="C215" s="8"/>
      <c r="D215" s="8"/>
      <c r="E215" s="13"/>
    </row>
    <row r="216" spans="1:5" x14ac:dyDescent="0.25">
      <c r="A216" s="12"/>
      <c r="B216" s="8"/>
      <c r="C216" s="8"/>
      <c r="D216" s="8"/>
      <c r="E216" s="13"/>
    </row>
    <row r="217" spans="1:5" x14ac:dyDescent="0.25">
      <c r="A217" s="12"/>
      <c r="B217" s="8"/>
      <c r="C217" s="8"/>
      <c r="D217" s="8"/>
      <c r="E217" s="13"/>
    </row>
    <row r="218" spans="1:5" x14ac:dyDescent="0.25">
      <c r="A218" s="12"/>
      <c r="B218" s="8"/>
      <c r="C218" s="8"/>
      <c r="D218" s="8"/>
      <c r="E218" s="13"/>
    </row>
    <row r="219" spans="1:5" x14ac:dyDescent="0.25">
      <c r="A219" s="12"/>
      <c r="B219" s="8"/>
      <c r="C219" s="8"/>
      <c r="D219" s="8"/>
      <c r="E219" s="13"/>
    </row>
    <row r="220" spans="1:5" x14ac:dyDescent="0.25">
      <c r="A220" s="12"/>
      <c r="B220" s="8"/>
      <c r="C220" s="8"/>
      <c r="D220" s="8"/>
      <c r="E220" s="13"/>
    </row>
    <row r="221" spans="1:5" x14ac:dyDescent="0.25">
      <c r="A221" s="12"/>
      <c r="B221" s="8"/>
      <c r="C221" s="8"/>
      <c r="D221" s="8"/>
      <c r="E221" s="13"/>
    </row>
    <row r="222" spans="1:5" x14ac:dyDescent="0.25">
      <c r="A222" s="12"/>
      <c r="B222" s="8"/>
      <c r="C222" s="8"/>
      <c r="D222" s="8"/>
      <c r="E222" s="13"/>
    </row>
    <row r="223" spans="1:5" x14ac:dyDescent="0.25">
      <c r="A223" s="12"/>
      <c r="B223" s="8"/>
      <c r="C223" s="8"/>
      <c r="D223" s="8"/>
      <c r="E223" s="13"/>
    </row>
    <row r="224" spans="1:5" x14ac:dyDescent="0.25">
      <c r="A224" s="12"/>
      <c r="B224" s="8"/>
      <c r="C224" s="8"/>
      <c r="D224" s="8"/>
      <c r="E224" s="13"/>
    </row>
    <row r="225" spans="1:5" x14ac:dyDescent="0.25">
      <c r="A225" s="12"/>
      <c r="B225" s="8"/>
      <c r="C225" s="8"/>
      <c r="D225" s="8"/>
      <c r="E225" s="13"/>
    </row>
    <row r="226" spans="1:5" x14ac:dyDescent="0.25">
      <c r="A226" s="12"/>
      <c r="B226" s="8"/>
      <c r="C226" s="8"/>
      <c r="D226" s="8"/>
      <c r="E226" s="13"/>
    </row>
    <row r="227" spans="1:5" x14ac:dyDescent="0.25">
      <c r="A227" s="12"/>
      <c r="B227" s="8"/>
      <c r="C227" s="8"/>
      <c r="D227" s="8"/>
      <c r="E227" s="13"/>
    </row>
    <row r="228" spans="1:5" x14ac:dyDescent="0.25">
      <c r="A228" s="12"/>
      <c r="B228" s="8"/>
      <c r="C228" s="8"/>
      <c r="D228" s="8"/>
      <c r="E228" s="13"/>
    </row>
    <row r="229" spans="1:5" x14ac:dyDescent="0.25">
      <c r="A229" s="12"/>
      <c r="B229" s="8"/>
      <c r="C229" s="8"/>
      <c r="D229" s="8"/>
      <c r="E229" s="13"/>
    </row>
    <row r="230" spans="1:5" x14ac:dyDescent="0.25">
      <c r="A230" s="12"/>
      <c r="B230" s="8"/>
      <c r="C230" s="8"/>
      <c r="D230" s="8"/>
      <c r="E230" s="13"/>
    </row>
    <row r="231" spans="1:5" x14ac:dyDescent="0.25">
      <c r="A231" s="12"/>
      <c r="B231" s="8"/>
      <c r="C231" s="8"/>
      <c r="D231" s="8"/>
      <c r="E231" s="13"/>
    </row>
    <row r="232" spans="1:5" x14ac:dyDescent="0.25">
      <c r="A232" s="12"/>
      <c r="B232" s="8"/>
      <c r="C232" s="8"/>
      <c r="D232" s="8"/>
      <c r="E232" s="13"/>
    </row>
    <row r="233" spans="1:5" x14ac:dyDescent="0.25">
      <c r="A233" s="12"/>
      <c r="B233" s="8"/>
      <c r="C233" s="8"/>
      <c r="D233" s="8"/>
      <c r="E233" s="13"/>
    </row>
    <row r="234" spans="1:5" x14ac:dyDescent="0.25">
      <c r="A234" s="12"/>
      <c r="B234" s="8"/>
      <c r="C234" s="8"/>
      <c r="D234" s="8"/>
      <c r="E234" s="13"/>
    </row>
    <row r="235" spans="1:5" x14ac:dyDescent="0.25">
      <c r="A235" s="12"/>
      <c r="B235" s="8"/>
      <c r="C235" s="8"/>
      <c r="D235" s="8"/>
      <c r="E235" s="13"/>
    </row>
    <row r="236" spans="1:5" x14ac:dyDescent="0.25">
      <c r="A236" s="12"/>
      <c r="B236" s="8"/>
      <c r="C236" s="8"/>
      <c r="D236" s="8"/>
      <c r="E236" s="13"/>
    </row>
    <row r="237" spans="1:5" x14ac:dyDescent="0.25">
      <c r="A237" s="12"/>
      <c r="B237" s="8"/>
      <c r="C237" s="8"/>
      <c r="D237" s="8"/>
      <c r="E237" s="13"/>
    </row>
    <row r="238" spans="1:5" x14ac:dyDescent="0.25">
      <c r="A238" s="12"/>
      <c r="B238" s="8"/>
      <c r="C238" s="8"/>
      <c r="D238" s="8"/>
      <c r="E238" s="13"/>
    </row>
    <row r="239" spans="1:5" x14ac:dyDescent="0.25">
      <c r="A239" s="12"/>
      <c r="B239" s="8"/>
      <c r="C239" s="8"/>
      <c r="D239" s="8"/>
      <c r="E239" s="13"/>
    </row>
    <row r="240" spans="1:5" x14ac:dyDescent="0.25">
      <c r="A240" s="12"/>
      <c r="B240" s="8"/>
      <c r="C240" s="8"/>
      <c r="D240" s="8"/>
      <c r="E240" s="13"/>
    </row>
    <row r="241" spans="1:5" x14ac:dyDescent="0.25">
      <c r="A241" s="12"/>
      <c r="B241" s="8"/>
      <c r="C241" s="8"/>
      <c r="D241" s="8"/>
      <c r="E241" s="13"/>
    </row>
    <row r="242" spans="1:5" x14ac:dyDescent="0.25">
      <c r="A242" s="12"/>
      <c r="B242" s="8"/>
      <c r="C242" s="8"/>
      <c r="D242" s="8"/>
      <c r="E242" s="13"/>
    </row>
    <row r="243" spans="1:5" x14ac:dyDescent="0.25">
      <c r="A243" s="12"/>
      <c r="B243" s="8"/>
      <c r="C243" s="8"/>
      <c r="D243" s="8"/>
      <c r="E243" s="13"/>
    </row>
    <row r="244" spans="1:5" x14ac:dyDescent="0.25">
      <c r="A244" s="12"/>
      <c r="B244" s="8"/>
      <c r="C244" s="8"/>
      <c r="D244" s="8"/>
      <c r="E244" s="13"/>
    </row>
    <row r="245" spans="1:5" x14ac:dyDescent="0.25">
      <c r="A245" s="12"/>
      <c r="B245" s="8"/>
      <c r="C245" s="8"/>
      <c r="D245" s="8"/>
      <c r="E245" s="13"/>
    </row>
    <row r="246" spans="1:5" x14ac:dyDescent="0.25">
      <c r="A246" s="12"/>
      <c r="B246" s="8"/>
      <c r="C246" s="8"/>
      <c r="D246" s="8"/>
      <c r="E246" s="13"/>
    </row>
    <row r="247" spans="1:5" x14ac:dyDescent="0.25">
      <c r="A247" s="12"/>
      <c r="B247" s="8"/>
      <c r="C247" s="8"/>
      <c r="D247" s="8"/>
      <c r="E247" s="13"/>
    </row>
    <row r="248" spans="1:5" x14ac:dyDescent="0.25">
      <c r="A248" s="12"/>
      <c r="B248" s="8"/>
      <c r="C248" s="8"/>
      <c r="D248" s="8"/>
      <c r="E248" s="13"/>
    </row>
    <row r="249" spans="1:5" x14ac:dyDescent="0.25">
      <c r="A249" s="12"/>
      <c r="B249" s="8"/>
      <c r="C249" s="8"/>
      <c r="D249" s="8"/>
      <c r="E249" s="13"/>
    </row>
    <row r="250" spans="1:5" x14ac:dyDescent="0.25">
      <c r="A250" s="12"/>
      <c r="B250" s="8"/>
      <c r="C250" s="8"/>
      <c r="D250" s="8"/>
      <c r="E250" s="13"/>
    </row>
    <row r="251" spans="1:5" x14ac:dyDescent="0.25">
      <c r="A251" s="12"/>
      <c r="B251" s="8"/>
      <c r="C251" s="8"/>
      <c r="D251" s="8"/>
      <c r="E251" s="13"/>
    </row>
    <row r="252" spans="1:5" x14ac:dyDescent="0.25">
      <c r="A252" s="12"/>
      <c r="B252" s="8"/>
      <c r="C252" s="8"/>
      <c r="D252" s="8"/>
      <c r="E252" s="13"/>
    </row>
    <row r="253" spans="1:5" x14ac:dyDescent="0.25">
      <c r="A253" s="12"/>
      <c r="B253" s="8"/>
      <c r="C253" s="8"/>
      <c r="D253" s="8"/>
      <c r="E253" s="13"/>
    </row>
    <row r="254" spans="1:5" x14ac:dyDescent="0.25">
      <c r="A254" s="12"/>
      <c r="B254" s="8"/>
      <c r="C254" s="8"/>
      <c r="D254" s="8"/>
      <c r="E254" s="13"/>
    </row>
    <row r="255" spans="1:5" x14ac:dyDescent="0.25">
      <c r="A255" s="12"/>
      <c r="B255" s="8"/>
      <c r="C255" s="8"/>
      <c r="D255" s="8"/>
      <c r="E255" s="13"/>
    </row>
    <row r="256" spans="1:5" x14ac:dyDescent="0.25">
      <c r="A256" s="12"/>
      <c r="B256" s="8"/>
      <c r="C256" s="8"/>
      <c r="D256" s="8"/>
      <c r="E256" s="13"/>
    </row>
    <row r="257" spans="1:5" x14ac:dyDescent="0.25">
      <c r="A257" s="12"/>
      <c r="B257" s="8"/>
      <c r="C257" s="8"/>
      <c r="D257" s="8"/>
      <c r="E257" s="13"/>
    </row>
    <row r="258" spans="1:5" x14ac:dyDescent="0.25">
      <c r="A258" s="12"/>
      <c r="B258" s="8"/>
      <c r="C258" s="8"/>
      <c r="D258" s="8"/>
      <c r="E258" s="13"/>
    </row>
    <row r="259" spans="1:5" x14ac:dyDescent="0.25">
      <c r="A259" s="12"/>
      <c r="B259" s="8"/>
      <c r="C259" s="8"/>
      <c r="D259" s="8"/>
      <c r="E259" s="13"/>
    </row>
    <row r="260" spans="1:5" x14ac:dyDescent="0.25">
      <c r="A260" s="12"/>
      <c r="B260" s="8"/>
      <c r="C260" s="8"/>
      <c r="D260" s="8"/>
      <c r="E260" s="13"/>
    </row>
    <row r="261" spans="1:5" x14ac:dyDescent="0.25">
      <c r="A261" s="12"/>
      <c r="B261" s="8"/>
      <c r="C261" s="8"/>
      <c r="D261" s="8"/>
      <c r="E261" s="13"/>
    </row>
    <row r="262" spans="1:5" x14ac:dyDescent="0.25">
      <c r="A262" s="12"/>
      <c r="B262" s="8"/>
      <c r="C262" s="8"/>
      <c r="D262" s="8"/>
      <c r="E262" s="13"/>
    </row>
    <row r="263" spans="1:5" x14ac:dyDescent="0.25">
      <c r="A263" s="12"/>
      <c r="B263" s="8"/>
      <c r="C263" s="8"/>
      <c r="D263" s="8"/>
      <c r="E263" s="13"/>
    </row>
    <row r="264" spans="1:5" x14ac:dyDescent="0.25">
      <c r="A264" s="12"/>
      <c r="B264" s="8"/>
      <c r="C264" s="8"/>
      <c r="D264" s="8"/>
      <c r="E264" s="13"/>
    </row>
    <row r="265" spans="1:5" x14ac:dyDescent="0.25">
      <c r="A265" s="12"/>
      <c r="B265" s="8"/>
      <c r="C265" s="8"/>
      <c r="D265" s="8"/>
      <c r="E265" s="13"/>
    </row>
    <row r="266" spans="1:5" x14ac:dyDescent="0.25">
      <c r="A266" s="12"/>
      <c r="B266" s="8"/>
      <c r="C266" s="8"/>
      <c r="D266" s="8"/>
      <c r="E266" s="13"/>
    </row>
    <row r="267" spans="1:5" x14ac:dyDescent="0.25">
      <c r="A267" s="12"/>
      <c r="B267" s="8"/>
      <c r="C267" s="8"/>
      <c r="D267" s="8"/>
      <c r="E267" s="13"/>
    </row>
    <row r="268" spans="1:5" x14ac:dyDescent="0.25">
      <c r="A268" s="12"/>
      <c r="B268" s="8"/>
      <c r="C268" s="8"/>
      <c r="D268" s="8"/>
      <c r="E268" s="13"/>
    </row>
    <row r="269" spans="1:5" x14ac:dyDescent="0.25">
      <c r="A269" s="12"/>
      <c r="B269" s="8"/>
      <c r="C269" s="8"/>
      <c r="D269" s="8"/>
      <c r="E269" s="13"/>
    </row>
    <row r="270" spans="1:5" x14ac:dyDescent="0.25">
      <c r="A270" s="12"/>
      <c r="B270" s="8"/>
      <c r="C270" s="8"/>
      <c r="D270" s="8"/>
      <c r="E270" s="13"/>
    </row>
    <row r="271" spans="1:5" x14ac:dyDescent="0.25">
      <c r="A271" s="12"/>
      <c r="B271" s="8"/>
      <c r="C271" s="8"/>
      <c r="D271" s="8"/>
      <c r="E271" s="13"/>
    </row>
    <row r="272" spans="1:5" x14ac:dyDescent="0.25">
      <c r="A272" s="12"/>
      <c r="B272" s="8"/>
      <c r="C272" s="8"/>
      <c r="D272" s="8"/>
      <c r="E272" s="13"/>
    </row>
    <row r="273" spans="1:5" x14ac:dyDescent="0.25">
      <c r="A273" s="12"/>
      <c r="B273" s="8"/>
      <c r="C273" s="8"/>
      <c r="D273" s="8"/>
      <c r="E273" s="13"/>
    </row>
    <row r="274" spans="1:5" x14ac:dyDescent="0.25">
      <c r="A274" s="12"/>
      <c r="B274" s="8"/>
      <c r="C274" s="8"/>
      <c r="D274" s="8"/>
      <c r="E274" s="13"/>
    </row>
    <row r="275" spans="1:5" x14ac:dyDescent="0.25">
      <c r="A275" s="12"/>
      <c r="B275" s="8"/>
      <c r="C275" s="8"/>
      <c r="D275" s="8"/>
      <c r="E275" s="13"/>
    </row>
    <row r="276" spans="1:5" x14ac:dyDescent="0.25">
      <c r="A276" s="12"/>
      <c r="B276" s="8"/>
      <c r="C276" s="8"/>
      <c r="D276" s="8"/>
      <c r="E276" s="13"/>
    </row>
    <row r="277" spans="1:5" x14ac:dyDescent="0.25">
      <c r="A277" s="12"/>
      <c r="B277" s="8"/>
      <c r="C277" s="8"/>
      <c r="D277" s="8"/>
      <c r="E277" s="13"/>
    </row>
    <row r="278" spans="1:5" x14ac:dyDescent="0.25">
      <c r="A278" s="12"/>
      <c r="B278" s="8"/>
      <c r="C278" s="8"/>
      <c r="D278" s="8"/>
      <c r="E278" s="13"/>
    </row>
    <row r="279" spans="1:5" x14ac:dyDescent="0.25">
      <c r="A279" s="12"/>
      <c r="B279" s="8"/>
      <c r="C279" s="8"/>
      <c r="D279" s="8"/>
      <c r="E279" s="13"/>
    </row>
    <row r="280" spans="1:5" x14ac:dyDescent="0.25">
      <c r="A280" s="12"/>
      <c r="B280" s="8"/>
      <c r="C280" s="8"/>
      <c r="D280" s="8"/>
      <c r="E280" s="13"/>
    </row>
    <row r="281" spans="1:5" x14ac:dyDescent="0.25">
      <c r="A281" s="12"/>
      <c r="B281" s="8"/>
      <c r="C281" s="8"/>
      <c r="D281" s="8"/>
      <c r="E281" s="13"/>
    </row>
    <row r="282" spans="1:5" x14ac:dyDescent="0.25">
      <c r="A282" s="12"/>
      <c r="B282" s="8"/>
      <c r="C282" s="8"/>
      <c r="D282" s="8"/>
      <c r="E282" s="13"/>
    </row>
    <row r="283" spans="1:5" x14ac:dyDescent="0.25">
      <c r="A283" s="12"/>
      <c r="B283" s="8"/>
      <c r="C283" s="8"/>
      <c r="D283" s="8"/>
      <c r="E283" s="13"/>
    </row>
    <row r="284" spans="1:5" x14ac:dyDescent="0.25">
      <c r="A284" s="12"/>
      <c r="B284" s="8"/>
      <c r="C284" s="8"/>
      <c r="D284" s="8"/>
      <c r="E284" s="13"/>
    </row>
    <row r="285" spans="1:5" x14ac:dyDescent="0.25">
      <c r="A285" s="12"/>
      <c r="B285" s="8"/>
      <c r="C285" s="8"/>
      <c r="D285" s="8"/>
      <c r="E285" s="13"/>
    </row>
    <row r="286" spans="1:5" x14ac:dyDescent="0.25">
      <c r="A286" s="12"/>
      <c r="B286" s="8"/>
      <c r="C286" s="8"/>
      <c r="D286" s="8"/>
      <c r="E286" s="13"/>
    </row>
    <row r="287" spans="1:5" x14ac:dyDescent="0.25">
      <c r="A287" s="12"/>
      <c r="B287" s="8"/>
      <c r="C287" s="8"/>
      <c r="D287" s="8"/>
      <c r="E287" s="13"/>
    </row>
    <row r="288" spans="1:5" x14ac:dyDescent="0.25">
      <c r="A288" s="12"/>
      <c r="B288" s="8"/>
      <c r="C288" s="8"/>
      <c r="D288" s="8"/>
      <c r="E288" s="13"/>
    </row>
    <row r="289" spans="1:5" x14ac:dyDescent="0.25">
      <c r="A289" s="12"/>
      <c r="B289" s="8"/>
      <c r="C289" s="8"/>
      <c r="D289" s="8"/>
      <c r="E289" s="13"/>
    </row>
    <row r="290" spans="1:5" x14ac:dyDescent="0.25">
      <c r="A290" s="12"/>
      <c r="B290" s="8"/>
      <c r="C290" s="8"/>
      <c r="D290" s="8"/>
      <c r="E290" s="13"/>
    </row>
    <row r="291" spans="1:5" x14ac:dyDescent="0.25">
      <c r="A291" s="12"/>
      <c r="B291" s="8"/>
      <c r="C291" s="8"/>
      <c r="D291" s="8"/>
      <c r="E291" s="13"/>
    </row>
    <row r="292" spans="1:5" x14ac:dyDescent="0.25">
      <c r="A292" s="12"/>
      <c r="B292" s="8"/>
      <c r="C292" s="8"/>
      <c r="D292" s="8"/>
      <c r="E292" s="13"/>
    </row>
    <row r="293" spans="1:5" x14ac:dyDescent="0.25">
      <c r="A293" s="12"/>
      <c r="B293" s="8"/>
      <c r="C293" s="8"/>
      <c r="D293" s="8"/>
      <c r="E293" s="13"/>
    </row>
    <row r="294" spans="1:5" x14ac:dyDescent="0.25">
      <c r="A294" s="12"/>
      <c r="B294" s="8"/>
      <c r="C294" s="8"/>
      <c r="D294" s="8"/>
      <c r="E294" s="13"/>
    </row>
    <row r="295" spans="1:5" x14ac:dyDescent="0.25">
      <c r="A295" s="12"/>
      <c r="B295" s="8"/>
      <c r="C295" s="8"/>
      <c r="D295" s="8"/>
      <c r="E295" s="13"/>
    </row>
    <row r="296" spans="1:5" x14ac:dyDescent="0.25">
      <c r="A296" s="12"/>
      <c r="B296" s="8"/>
      <c r="C296" s="8"/>
      <c r="D296" s="8"/>
      <c r="E296" s="13"/>
    </row>
    <row r="297" spans="1:5" x14ac:dyDescent="0.25">
      <c r="A297" s="12"/>
      <c r="B297" s="8"/>
      <c r="C297" s="8"/>
      <c r="D297" s="8"/>
      <c r="E297" s="13"/>
    </row>
    <row r="298" spans="1:5" x14ac:dyDescent="0.25">
      <c r="A298" s="12"/>
      <c r="B298" s="8"/>
      <c r="C298" s="8"/>
      <c r="D298" s="8"/>
      <c r="E298" s="13"/>
    </row>
    <row r="299" spans="1:5" x14ac:dyDescent="0.25">
      <c r="A299" s="12"/>
      <c r="B299" s="8"/>
      <c r="C299" s="8"/>
      <c r="D299" s="8"/>
      <c r="E299" s="13"/>
    </row>
    <row r="300" spans="1:5" x14ac:dyDescent="0.25">
      <c r="A300" s="12"/>
      <c r="B300" s="8"/>
      <c r="C300" s="8"/>
      <c r="D300" s="8"/>
      <c r="E300" s="13"/>
    </row>
    <row r="301" spans="1:5" x14ac:dyDescent="0.25">
      <c r="A301" s="12"/>
      <c r="B301" s="8"/>
      <c r="C301" s="8"/>
      <c r="D301" s="8"/>
      <c r="E301" s="13"/>
    </row>
    <row r="302" spans="1:5" x14ac:dyDescent="0.25">
      <c r="A302" s="12"/>
      <c r="B302" s="8"/>
      <c r="C302" s="8"/>
      <c r="D302" s="8"/>
      <c r="E302" s="13"/>
    </row>
    <row r="303" spans="1:5" x14ac:dyDescent="0.25">
      <c r="A303" s="12"/>
      <c r="B303" s="8"/>
      <c r="C303" s="8"/>
      <c r="D303" s="8"/>
      <c r="E303" s="13"/>
    </row>
    <row r="304" spans="1:5" x14ac:dyDescent="0.25">
      <c r="A304" s="12"/>
      <c r="B304" s="8"/>
      <c r="C304" s="8"/>
      <c r="D304" s="8"/>
      <c r="E304" s="13"/>
    </row>
    <row r="305" spans="1:5" x14ac:dyDescent="0.25">
      <c r="A305" s="12"/>
      <c r="B305" s="8"/>
      <c r="C305" s="8"/>
      <c r="D305" s="8"/>
      <c r="E305" s="13"/>
    </row>
    <row r="306" spans="1:5" x14ac:dyDescent="0.25">
      <c r="A306" s="12"/>
      <c r="B306" s="8"/>
      <c r="C306" s="8"/>
      <c r="D306" s="8"/>
      <c r="E306" s="13"/>
    </row>
    <row r="307" spans="1:5" x14ac:dyDescent="0.25">
      <c r="A307" s="12"/>
      <c r="B307" s="8"/>
      <c r="C307" s="8"/>
      <c r="D307" s="8"/>
      <c r="E307" s="13"/>
    </row>
    <row r="308" spans="1:5" x14ac:dyDescent="0.25">
      <c r="A308" s="12"/>
      <c r="B308" s="8"/>
      <c r="C308" s="8"/>
      <c r="D308" s="8"/>
      <c r="E308" s="13"/>
    </row>
    <row r="309" spans="1:5" x14ac:dyDescent="0.25">
      <c r="A309" s="12"/>
      <c r="B309" s="8"/>
      <c r="C309" s="8"/>
      <c r="D309" s="8"/>
      <c r="E309" s="13"/>
    </row>
    <row r="310" spans="1:5" x14ac:dyDescent="0.25">
      <c r="A310" s="12"/>
      <c r="B310" s="8"/>
      <c r="C310" s="8"/>
      <c r="D310" s="8"/>
      <c r="E310" s="13"/>
    </row>
    <row r="311" spans="1:5" x14ac:dyDescent="0.25">
      <c r="A311" s="12"/>
      <c r="B311" s="8"/>
      <c r="C311" s="8"/>
      <c r="D311" s="8"/>
      <c r="E311" s="13"/>
    </row>
    <row r="312" spans="1:5" x14ac:dyDescent="0.25">
      <c r="A312" s="12"/>
      <c r="B312" s="8"/>
      <c r="C312" s="8"/>
      <c r="D312" s="8"/>
      <c r="E312" s="13"/>
    </row>
    <row r="313" spans="1:5" x14ac:dyDescent="0.25">
      <c r="A313" s="12"/>
      <c r="B313" s="8"/>
      <c r="C313" s="8"/>
      <c r="D313" s="8"/>
      <c r="E313" s="13"/>
    </row>
    <row r="314" spans="1:5" x14ac:dyDescent="0.25">
      <c r="A314" s="12"/>
      <c r="B314" s="8"/>
      <c r="C314" s="8"/>
      <c r="D314" s="8"/>
      <c r="E314" s="13"/>
    </row>
    <row r="315" spans="1:5" x14ac:dyDescent="0.25">
      <c r="A315" s="12"/>
      <c r="B315" s="8"/>
      <c r="C315" s="8"/>
      <c r="D315" s="8"/>
      <c r="E315" s="13"/>
    </row>
    <row r="316" spans="1:5" x14ac:dyDescent="0.25">
      <c r="A316" s="12"/>
      <c r="B316" s="8"/>
      <c r="C316" s="8"/>
      <c r="D316" s="8"/>
      <c r="E316" s="13"/>
    </row>
    <row r="317" spans="1:5" x14ac:dyDescent="0.25">
      <c r="A317" s="12"/>
      <c r="B317" s="8"/>
      <c r="C317" s="8"/>
      <c r="D317" s="8"/>
      <c r="E317" s="13"/>
    </row>
    <row r="318" spans="1:5" x14ac:dyDescent="0.25">
      <c r="A318" s="12"/>
      <c r="B318" s="8"/>
      <c r="C318" s="8"/>
      <c r="D318" s="8"/>
      <c r="E318" s="13"/>
    </row>
    <row r="319" spans="1:5" x14ac:dyDescent="0.25">
      <c r="A319" s="12"/>
      <c r="B319" s="8"/>
      <c r="C319" s="8"/>
      <c r="D319" s="8"/>
      <c r="E319" s="13"/>
    </row>
    <row r="320" spans="1:5" x14ac:dyDescent="0.25">
      <c r="A320" s="12"/>
      <c r="B320" s="8"/>
      <c r="C320" s="8"/>
      <c r="D320" s="8"/>
      <c r="E320" s="13"/>
    </row>
    <row r="321" spans="1:5" x14ac:dyDescent="0.25">
      <c r="A321" s="12"/>
      <c r="B321" s="8"/>
      <c r="C321" s="8"/>
      <c r="D321" s="8"/>
      <c r="E321" s="13"/>
    </row>
    <row r="322" spans="1:5" x14ac:dyDescent="0.25">
      <c r="A322" s="12"/>
      <c r="B322" s="8"/>
      <c r="C322" s="8"/>
      <c r="D322" s="8"/>
      <c r="E322" s="13"/>
    </row>
    <row r="323" spans="1:5" x14ac:dyDescent="0.25">
      <c r="A323" s="12"/>
      <c r="B323" s="8"/>
      <c r="C323" s="8"/>
      <c r="D323" s="8"/>
      <c r="E323" s="13"/>
    </row>
    <row r="324" spans="1:5" x14ac:dyDescent="0.25">
      <c r="A324" s="12"/>
      <c r="B324" s="8"/>
      <c r="C324" s="8"/>
      <c r="D324" s="8"/>
      <c r="E324" s="13"/>
    </row>
    <row r="325" spans="1:5" x14ac:dyDescent="0.25">
      <c r="A325" s="12"/>
      <c r="B325" s="8"/>
      <c r="C325" s="8"/>
      <c r="D325" s="8"/>
      <c r="E325" s="13"/>
    </row>
    <row r="326" spans="1:5" x14ac:dyDescent="0.25">
      <c r="A326" s="12"/>
      <c r="B326" s="8"/>
      <c r="C326" s="8"/>
      <c r="D326" s="8"/>
      <c r="E326" s="13"/>
    </row>
    <row r="327" spans="1:5" x14ac:dyDescent="0.25">
      <c r="A327" s="12"/>
      <c r="B327" s="8"/>
      <c r="C327" s="8"/>
      <c r="D327" s="8"/>
      <c r="E327" s="13"/>
    </row>
    <row r="328" spans="1:5" x14ac:dyDescent="0.25">
      <c r="A328" s="12"/>
      <c r="B328" s="8"/>
      <c r="C328" s="8"/>
      <c r="D328" s="8"/>
      <c r="E328" s="13"/>
    </row>
    <row r="329" spans="1:5" x14ac:dyDescent="0.25">
      <c r="A329" s="12"/>
      <c r="B329" s="8"/>
      <c r="C329" s="8"/>
      <c r="D329" s="8"/>
      <c r="E329" s="13"/>
    </row>
    <row r="330" spans="1:5" x14ac:dyDescent="0.25">
      <c r="A330" s="12"/>
      <c r="B330" s="8"/>
      <c r="C330" s="8"/>
      <c r="D330" s="8"/>
      <c r="E330" s="13"/>
    </row>
    <row r="331" spans="1:5" x14ac:dyDescent="0.25">
      <c r="A331" s="12"/>
      <c r="B331" s="8"/>
      <c r="C331" s="8"/>
      <c r="D331" s="8"/>
      <c r="E331" s="13"/>
    </row>
    <row r="332" spans="1:5" x14ac:dyDescent="0.25">
      <c r="A332" s="12"/>
      <c r="B332" s="8"/>
      <c r="C332" s="8"/>
      <c r="D332" s="8"/>
      <c r="E332" s="13"/>
    </row>
    <row r="333" spans="1:5" x14ac:dyDescent="0.25">
      <c r="A333" s="12"/>
      <c r="B333" s="8"/>
      <c r="C333" s="8"/>
      <c r="D333" s="8"/>
      <c r="E333" s="13"/>
    </row>
    <row r="334" spans="1:5" x14ac:dyDescent="0.25">
      <c r="A334" s="12"/>
      <c r="B334" s="8"/>
      <c r="C334" s="8"/>
      <c r="D334" s="8"/>
      <c r="E334" s="13"/>
    </row>
    <row r="335" spans="1:5" x14ac:dyDescent="0.25">
      <c r="A335" s="12"/>
      <c r="B335" s="8"/>
      <c r="C335" s="8"/>
      <c r="D335" s="8"/>
      <c r="E335" s="13"/>
    </row>
    <row r="336" spans="1:5" x14ac:dyDescent="0.25">
      <c r="A336" s="12"/>
      <c r="B336" s="8"/>
      <c r="C336" s="8"/>
      <c r="D336" s="8"/>
      <c r="E336" s="13"/>
    </row>
    <row r="337" spans="1:5" x14ac:dyDescent="0.25">
      <c r="A337" s="12"/>
      <c r="B337" s="8"/>
      <c r="C337" s="8"/>
      <c r="D337" s="8"/>
      <c r="E337" s="13"/>
    </row>
    <row r="338" spans="1:5" x14ac:dyDescent="0.25">
      <c r="A338" s="12"/>
      <c r="B338" s="8"/>
      <c r="C338" s="8"/>
      <c r="D338" s="8"/>
      <c r="E338" s="13"/>
    </row>
    <row r="339" spans="1:5" x14ac:dyDescent="0.25">
      <c r="A339" s="12"/>
      <c r="B339" s="8"/>
      <c r="C339" s="8"/>
      <c r="D339" s="8"/>
      <c r="E339" s="13"/>
    </row>
    <row r="340" spans="1:5" x14ac:dyDescent="0.25">
      <c r="A340" s="12"/>
      <c r="B340" s="8"/>
      <c r="C340" s="8"/>
      <c r="D340" s="8"/>
      <c r="E340" s="13"/>
    </row>
    <row r="341" spans="1:5" x14ac:dyDescent="0.25">
      <c r="A341" s="12"/>
      <c r="B341" s="8"/>
      <c r="C341" s="8"/>
      <c r="D341" s="8"/>
      <c r="E341" s="13"/>
    </row>
    <row r="342" spans="1:5" x14ac:dyDescent="0.25">
      <c r="A342" s="12"/>
      <c r="B342" s="8"/>
      <c r="C342" s="8"/>
      <c r="D342" s="8"/>
      <c r="E342" s="13"/>
    </row>
    <row r="343" spans="1:5" x14ac:dyDescent="0.25">
      <c r="A343" s="12"/>
      <c r="B343" s="8"/>
      <c r="C343" s="8"/>
      <c r="D343" s="8"/>
      <c r="E343" s="13"/>
    </row>
    <row r="344" spans="1:5" x14ac:dyDescent="0.25">
      <c r="A344" s="12"/>
      <c r="B344" s="8"/>
      <c r="C344" s="8"/>
      <c r="D344" s="8"/>
      <c r="E344" s="13"/>
    </row>
    <row r="345" spans="1:5" x14ac:dyDescent="0.25">
      <c r="A345" s="12"/>
      <c r="B345" s="8"/>
      <c r="C345" s="8"/>
      <c r="D345" s="8"/>
      <c r="E345" s="13"/>
    </row>
    <row r="346" spans="1:5" x14ac:dyDescent="0.25">
      <c r="A346" s="12"/>
      <c r="B346" s="8"/>
      <c r="C346" s="8"/>
      <c r="D346" s="8"/>
      <c r="E346" s="13"/>
    </row>
    <row r="347" spans="1:5" x14ac:dyDescent="0.25">
      <c r="A347" s="12"/>
      <c r="B347" s="8"/>
      <c r="C347" s="8"/>
      <c r="D347" s="8"/>
      <c r="E347" s="13"/>
    </row>
    <row r="348" spans="1:5" x14ac:dyDescent="0.25">
      <c r="A348" s="12"/>
      <c r="B348" s="8"/>
      <c r="C348" s="8"/>
      <c r="D348" s="8"/>
      <c r="E348" s="13"/>
    </row>
    <row r="349" spans="1:5" x14ac:dyDescent="0.25">
      <c r="A349" s="12"/>
      <c r="B349" s="8"/>
      <c r="C349" s="8"/>
      <c r="D349" s="8"/>
      <c r="E349" s="13"/>
    </row>
    <row r="350" spans="1:5" x14ac:dyDescent="0.25">
      <c r="A350" s="12"/>
      <c r="B350" s="8"/>
      <c r="C350" s="8"/>
      <c r="D350" s="8"/>
      <c r="E350" s="13"/>
    </row>
    <row r="351" spans="1:5" x14ac:dyDescent="0.25">
      <c r="A351" s="12"/>
      <c r="B351" s="8"/>
      <c r="C351" s="8"/>
      <c r="D351" s="8"/>
      <c r="E351" s="13"/>
    </row>
    <row r="352" spans="1:5" x14ac:dyDescent="0.25">
      <c r="A352" s="12"/>
      <c r="B352" s="8"/>
      <c r="C352" s="8"/>
      <c r="D352" s="8"/>
      <c r="E352" s="13"/>
    </row>
    <row r="353" spans="1:5" x14ac:dyDescent="0.25">
      <c r="A353" s="12"/>
      <c r="B353" s="8"/>
      <c r="C353" s="8"/>
      <c r="D353" s="8"/>
      <c r="E353" s="13"/>
    </row>
    <row r="354" spans="1:5" x14ac:dyDescent="0.25">
      <c r="A354" s="12"/>
      <c r="B354" s="8"/>
      <c r="C354" s="8"/>
      <c r="D354" s="8"/>
      <c r="E354" s="13"/>
    </row>
    <row r="355" spans="1:5" x14ac:dyDescent="0.25">
      <c r="A355" s="12"/>
      <c r="B355" s="8"/>
      <c r="C355" s="8"/>
      <c r="D355" s="8"/>
      <c r="E355" s="13"/>
    </row>
    <row r="356" spans="1:5" x14ac:dyDescent="0.25">
      <c r="A356" s="12"/>
      <c r="B356" s="8"/>
      <c r="C356" s="8"/>
      <c r="D356" s="8"/>
      <c r="E356" s="13"/>
    </row>
    <row r="357" spans="1:5" x14ac:dyDescent="0.25">
      <c r="A357" s="12"/>
      <c r="B357" s="8"/>
      <c r="C357" s="8"/>
      <c r="D357" s="8"/>
      <c r="E357" s="13"/>
    </row>
    <row r="358" spans="1:5" x14ac:dyDescent="0.25">
      <c r="A358" s="12"/>
      <c r="B358" s="8"/>
      <c r="C358" s="8"/>
      <c r="D358" s="8"/>
      <c r="E358" s="13"/>
    </row>
    <row r="359" spans="1:5" x14ac:dyDescent="0.25">
      <c r="A359" s="12"/>
      <c r="B359" s="8"/>
      <c r="C359" s="8"/>
      <c r="D359" s="8"/>
      <c r="E359" s="13"/>
    </row>
    <row r="360" spans="1:5" x14ac:dyDescent="0.25">
      <c r="A360" s="12"/>
      <c r="B360" s="8"/>
      <c r="C360" s="8"/>
      <c r="D360" s="8"/>
      <c r="E360" s="13"/>
    </row>
    <row r="361" spans="1:5" x14ac:dyDescent="0.25">
      <c r="A361" s="12"/>
      <c r="B361" s="8"/>
      <c r="C361" s="8"/>
      <c r="D361" s="8"/>
      <c r="E361" s="13"/>
    </row>
    <row r="362" spans="1:5" x14ac:dyDescent="0.25">
      <c r="A362" s="12"/>
      <c r="B362" s="8"/>
      <c r="C362" s="8"/>
      <c r="D362" s="8"/>
      <c r="E362" s="13"/>
    </row>
    <row r="363" spans="1:5" x14ac:dyDescent="0.25">
      <c r="A363" s="12"/>
      <c r="B363" s="8"/>
      <c r="C363" s="8"/>
      <c r="D363" s="8"/>
      <c r="E363" s="13"/>
    </row>
    <row r="364" spans="1:5" x14ac:dyDescent="0.25">
      <c r="A364" s="12"/>
      <c r="B364" s="8"/>
      <c r="C364" s="8"/>
      <c r="D364" s="8"/>
      <c r="E364" s="13"/>
    </row>
    <row r="365" spans="1:5" x14ac:dyDescent="0.25">
      <c r="A365" s="12"/>
      <c r="B365" s="8"/>
      <c r="C365" s="8"/>
      <c r="D365" s="8"/>
      <c r="E365" s="13"/>
    </row>
    <row r="366" spans="1:5" x14ac:dyDescent="0.25">
      <c r="A366" s="12"/>
      <c r="B366" s="8"/>
      <c r="C366" s="8"/>
      <c r="D366" s="8"/>
      <c r="E366" s="13"/>
    </row>
    <row r="367" spans="1:5" x14ac:dyDescent="0.25">
      <c r="A367" s="12"/>
      <c r="B367" s="8"/>
      <c r="C367" s="8"/>
      <c r="D367" s="8"/>
      <c r="E367" s="13"/>
    </row>
    <row r="368" spans="1:5" x14ac:dyDescent="0.25">
      <c r="A368" s="12"/>
      <c r="B368" s="8"/>
      <c r="C368" s="8"/>
      <c r="D368" s="8"/>
      <c r="E368" s="13"/>
    </row>
    <row r="369" spans="1:5" x14ac:dyDescent="0.25">
      <c r="A369" s="12"/>
      <c r="B369" s="8"/>
      <c r="C369" s="8"/>
      <c r="D369" s="8"/>
      <c r="E369" s="13"/>
    </row>
    <row r="370" spans="1:5" x14ac:dyDescent="0.25">
      <c r="A370" s="12"/>
      <c r="B370" s="8"/>
      <c r="C370" s="8"/>
      <c r="D370" s="8"/>
      <c r="E370" s="13"/>
    </row>
    <row r="371" spans="1:5" x14ac:dyDescent="0.25">
      <c r="A371" s="12"/>
      <c r="B371" s="8"/>
      <c r="C371" s="8"/>
      <c r="D371" s="8"/>
      <c r="E371" s="13"/>
    </row>
    <row r="372" spans="1:5" x14ac:dyDescent="0.25">
      <c r="A372" s="12"/>
      <c r="B372" s="8"/>
      <c r="C372" s="8"/>
      <c r="D372" s="8"/>
      <c r="E372" s="13"/>
    </row>
    <row r="373" spans="1:5" x14ac:dyDescent="0.25">
      <c r="A373" s="12"/>
      <c r="B373" s="8"/>
      <c r="C373" s="8"/>
      <c r="D373" s="8"/>
      <c r="E373" s="13"/>
    </row>
    <row r="374" spans="1:5" x14ac:dyDescent="0.25">
      <c r="A374" s="12"/>
      <c r="B374" s="8"/>
      <c r="C374" s="8"/>
      <c r="D374" s="8"/>
      <c r="E374" s="13"/>
    </row>
    <row r="375" spans="1:5" x14ac:dyDescent="0.25">
      <c r="A375" s="12"/>
      <c r="B375" s="8"/>
      <c r="C375" s="8"/>
      <c r="D375" s="8"/>
      <c r="E375" s="13"/>
    </row>
    <row r="376" spans="1:5" x14ac:dyDescent="0.25">
      <c r="A376" s="12"/>
      <c r="B376" s="8"/>
      <c r="C376" s="8"/>
      <c r="D376" s="8"/>
      <c r="E376" s="13"/>
    </row>
    <row r="377" spans="1:5" x14ac:dyDescent="0.25">
      <c r="A377" s="12"/>
      <c r="B377" s="8"/>
      <c r="C377" s="8"/>
      <c r="D377" s="8"/>
      <c r="E377" s="13"/>
    </row>
    <row r="378" spans="1:5" x14ac:dyDescent="0.25">
      <c r="A378" s="12"/>
      <c r="B378" s="8"/>
      <c r="C378" s="8"/>
      <c r="D378" s="8"/>
      <c r="E378" s="13"/>
    </row>
    <row r="379" spans="1:5" x14ac:dyDescent="0.25">
      <c r="A379" s="12"/>
      <c r="B379" s="8"/>
      <c r="C379" s="8"/>
      <c r="D379" s="8"/>
      <c r="E379" s="13"/>
    </row>
    <row r="380" spans="1:5" x14ac:dyDescent="0.25">
      <c r="A380" s="12"/>
      <c r="B380" s="8"/>
      <c r="C380" s="8"/>
      <c r="D380" s="8"/>
      <c r="E380" s="13"/>
    </row>
    <row r="381" spans="1:5" x14ac:dyDescent="0.25">
      <c r="A381" s="12"/>
      <c r="B381" s="8"/>
      <c r="C381" s="8"/>
      <c r="D381" s="8"/>
      <c r="E381" s="13"/>
    </row>
    <row r="382" spans="1:5" x14ac:dyDescent="0.25">
      <c r="A382" s="12"/>
      <c r="B382" s="8"/>
      <c r="C382" s="8"/>
      <c r="D382" s="8"/>
      <c r="E382" s="13"/>
    </row>
    <row r="383" spans="1:5" x14ac:dyDescent="0.25">
      <c r="A383" s="12"/>
      <c r="B383" s="8"/>
      <c r="C383" s="8"/>
      <c r="D383" s="8"/>
      <c r="E383" s="13"/>
    </row>
    <row r="384" spans="1:5" x14ac:dyDescent="0.25">
      <c r="A384" s="12"/>
      <c r="B384" s="8"/>
      <c r="C384" s="8"/>
      <c r="D384" s="8"/>
      <c r="E384" s="13"/>
    </row>
    <row r="385" spans="1:5" x14ac:dyDescent="0.25">
      <c r="A385" s="12"/>
      <c r="B385" s="8"/>
      <c r="C385" s="8"/>
      <c r="D385" s="8"/>
      <c r="E385" s="13"/>
    </row>
    <row r="386" spans="1:5" x14ac:dyDescent="0.25">
      <c r="A386" s="12"/>
      <c r="B386" s="8"/>
      <c r="C386" s="8"/>
      <c r="D386" s="8"/>
      <c r="E386" s="13"/>
    </row>
    <row r="387" spans="1:5" x14ac:dyDescent="0.25">
      <c r="A387" s="12"/>
      <c r="B387" s="8"/>
      <c r="C387" s="8"/>
      <c r="D387" s="8"/>
      <c r="E387" s="13"/>
    </row>
    <row r="388" spans="1:5" x14ac:dyDescent="0.25">
      <c r="A388" s="12"/>
      <c r="B388" s="8"/>
      <c r="C388" s="8"/>
      <c r="D388" s="8"/>
      <c r="E388" s="13"/>
    </row>
    <row r="389" spans="1:5" x14ac:dyDescent="0.25">
      <c r="A389" s="12"/>
      <c r="B389" s="8"/>
      <c r="C389" s="8"/>
      <c r="D389" s="8"/>
      <c r="E389" s="13"/>
    </row>
    <row r="390" spans="1:5" x14ac:dyDescent="0.25">
      <c r="A390" s="12"/>
      <c r="B390" s="8"/>
      <c r="C390" s="8"/>
      <c r="D390" s="8"/>
      <c r="E390" s="13"/>
    </row>
    <row r="391" spans="1:5" x14ac:dyDescent="0.25">
      <c r="A391" s="12"/>
      <c r="B391" s="8"/>
      <c r="C391" s="8"/>
      <c r="D391" s="8"/>
      <c r="E391" s="13"/>
    </row>
    <row r="392" spans="1:5" x14ac:dyDescent="0.25">
      <c r="A392" s="12"/>
      <c r="B392" s="8"/>
      <c r="C392" s="8"/>
      <c r="D392" s="8"/>
      <c r="E392" s="13"/>
    </row>
    <row r="393" spans="1:5" x14ac:dyDescent="0.25">
      <c r="A393" s="12"/>
      <c r="B393" s="8"/>
      <c r="C393" s="8"/>
      <c r="D393" s="8"/>
      <c r="E393" s="13"/>
    </row>
    <row r="394" spans="1:5" x14ac:dyDescent="0.25">
      <c r="A394" s="12"/>
      <c r="B394" s="8"/>
      <c r="C394" s="8"/>
      <c r="D394" s="8"/>
      <c r="E394" s="13"/>
    </row>
    <row r="395" spans="1:5" x14ac:dyDescent="0.25">
      <c r="A395" s="12"/>
      <c r="B395" s="8"/>
      <c r="C395" s="8"/>
      <c r="D395" s="8"/>
      <c r="E395" s="13"/>
    </row>
    <row r="396" spans="1:5" x14ac:dyDescent="0.25">
      <c r="A396" s="12"/>
      <c r="B396" s="8"/>
      <c r="C396" s="8"/>
      <c r="D396" s="8"/>
      <c r="E396" s="13"/>
    </row>
    <row r="397" spans="1:5" x14ac:dyDescent="0.25">
      <c r="A397" s="12"/>
      <c r="B397" s="8"/>
      <c r="C397" s="8"/>
      <c r="D397" s="8"/>
      <c r="E397" s="13"/>
    </row>
    <row r="398" spans="1:5" x14ac:dyDescent="0.25">
      <c r="A398" s="12"/>
      <c r="B398" s="8"/>
      <c r="C398" s="8"/>
      <c r="D398" s="8"/>
      <c r="E398" s="13"/>
    </row>
    <row r="399" spans="1:5" x14ac:dyDescent="0.25">
      <c r="A399" s="12"/>
      <c r="B399" s="8"/>
      <c r="C399" s="8"/>
      <c r="D399" s="8"/>
      <c r="E399" s="13"/>
    </row>
    <row r="400" spans="1:5" x14ac:dyDescent="0.25">
      <c r="A400" s="12"/>
      <c r="B400" s="8"/>
      <c r="C400" s="8"/>
      <c r="D400" s="8"/>
      <c r="E400" s="13"/>
    </row>
    <row r="401" spans="1:5" x14ac:dyDescent="0.25">
      <c r="A401" s="12"/>
      <c r="B401" s="8"/>
      <c r="C401" s="8"/>
      <c r="D401" s="8"/>
      <c r="E401" s="13"/>
    </row>
    <row r="402" spans="1:5" x14ac:dyDescent="0.25">
      <c r="A402" s="12"/>
      <c r="B402" s="8"/>
      <c r="C402" s="8"/>
      <c r="D402" s="8"/>
      <c r="E402" s="13"/>
    </row>
    <row r="403" spans="1:5" x14ac:dyDescent="0.25">
      <c r="A403" s="12"/>
      <c r="B403" s="8"/>
      <c r="C403" s="8"/>
      <c r="D403" s="8"/>
      <c r="E403" s="13"/>
    </row>
    <row r="404" spans="1:5" x14ac:dyDescent="0.25">
      <c r="A404" s="12"/>
      <c r="B404" s="8"/>
      <c r="C404" s="8"/>
      <c r="D404" s="8"/>
      <c r="E404" s="13"/>
    </row>
    <row r="405" spans="1:5" x14ac:dyDescent="0.25">
      <c r="A405" s="12"/>
      <c r="B405" s="8"/>
      <c r="C405" s="8"/>
      <c r="D405" s="8"/>
      <c r="E405" s="13"/>
    </row>
    <row r="406" spans="1:5" x14ac:dyDescent="0.25">
      <c r="A406" s="12"/>
      <c r="B406" s="8"/>
      <c r="C406" s="8"/>
      <c r="D406" s="8"/>
      <c r="E406" s="13"/>
    </row>
    <row r="407" spans="1:5" x14ac:dyDescent="0.25">
      <c r="A407" s="12"/>
      <c r="B407" s="8"/>
      <c r="C407" s="8"/>
      <c r="D407" s="8"/>
      <c r="E407" s="13"/>
    </row>
    <row r="408" spans="1:5" x14ac:dyDescent="0.25">
      <c r="A408" s="12"/>
      <c r="B408" s="8"/>
      <c r="C408" s="8"/>
      <c r="D408" s="8"/>
      <c r="E408" s="13"/>
    </row>
    <row r="409" spans="1:5" x14ac:dyDescent="0.25">
      <c r="A409" s="12"/>
      <c r="B409" s="8"/>
      <c r="C409" s="8"/>
      <c r="D409" s="8"/>
      <c r="E409" s="13"/>
    </row>
    <row r="410" spans="1:5" x14ac:dyDescent="0.25">
      <c r="A410" s="12"/>
      <c r="B410" s="8"/>
      <c r="C410" s="8"/>
      <c r="D410" s="8"/>
      <c r="E410" s="13"/>
    </row>
    <row r="411" spans="1:5" x14ac:dyDescent="0.25">
      <c r="A411" s="12"/>
      <c r="B411" s="8"/>
      <c r="C411" s="8"/>
      <c r="D411" s="8"/>
      <c r="E411" s="13"/>
    </row>
    <row r="412" spans="1:5" x14ac:dyDescent="0.25">
      <c r="A412" s="12"/>
      <c r="B412" s="8"/>
      <c r="C412" s="8"/>
      <c r="D412" s="8"/>
      <c r="E412" s="13"/>
    </row>
    <row r="413" spans="1:5" x14ac:dyDescent="0.25">
      <c r="A413" s="12"/>
      <c r="B413" s="8"/>
      <c r="C413" s="8"/>
      <c r="D413" s="8"/>
      <c r="E413" s="13"/>
    </row>
    <row r="414" spans="1:5" x14ac:dyDescent="0.25">
      <c r="A414" s="12"/>
      <c r="B414" s="8"/>
      <c r="C414" s="8"/>
      <c r="D414" s="8"/>
      <c r="E414" s="13"/>
    </row>
    <row r="415" spans="1:5" x14ac:dyDescent="0.25">
      <c r="A415" s="12"/>
      <c r="B415" s="8"/>
      <c r="C415" s="8"/>
      <c r="D415" s="8"/>
      <c r="E415" s="13"/>
    </row>
    <row r="416" spans="1:5" x14ac:dyDescent="0.25">
      <c r="A416" s="12"/>
      <c r="B416" s="8"/>
      <c r="C416" s="8"/>
      <c r="D416" s="8"/>
      <c r="E416" s="13"/>
    </row>
    <row r="417" spans="1:5" x14ac:dyDescent="0.25">
      <c r="A417" s="12"/>
      <c r="B417" s="8"/>
      <c r="C417" s="8"/>
      <c r="D417" s="8"/>
      <c r="E417" s="13"/>
    </row>
    <row r="418" spans="1:5" x14ac:dyDescent="0.25">
      <c r="A418" s="12"/>
      <c r="B418" s="8"/>
      <c r="C418" s="8"/>
      <c r="D418" s="8"/>
      <c r="E418" s="13"/>
    </row>
    <row r="419" spans="1:5" x14ac:dyDescent="0.25">
      <c r="A419" s="12"/>
      <c r="B419" s="8"/>
      <c r="C419" s="8"/>
      <c r="D419" s="8"/>
      <c r="E419" s="13"/>
    </row>
    <row r="420" spans="1:5" x14ac:dyDescent="0.25">
      <c r="A420" s="12"/>
      <c r="B420" s="8"/>
      <c r="C420" s="8"/>
      <c r="D420" s="8"/>
      <c r="E420" s="13"/>
    </row>
    <row r="421" spans="1:5" x14ac:dyDescent="0.25">
      <c r="A421" s="12"/>
      <c r="B421" s="8"/>
      <c r="C421" s="8"/>
      <c r="D421" s="8"/>
      <c r="E421" s="13"/>
    </row>
    <row r="422" spans="1:5" x14ac:dyDescent="0.25">
      <c r="A422" s="12"/>
      <c r="B422" s="8"/>
      <c r="C422" s="8"/>
      <c r="D422" s="8"/>
      <c r="E422" s="13"/>
    </row>
    <row r="423" spans="1:5" x14ac:dyDescent="0.25">
      <c r="A423" s="12"/>
      <c r="B423" s="8"/>
      <c r="C423" s="8"/>
      <c r="D423" s="8"/>
      <c r="E423" s="13"/>
    </row>
    <row r="424" spans="1:5" x14ac:dyDescent="0.25">
      <c r="A424" s="12"/>
      <c r="B424" s="8"/>
      <c r="C424" s="8"/>
      <c r="D424" s="8"/>
      <c r="E424" s="13"/>
    </row>
    <row r="425" spans="1:5" x14ac:dyDescent="0.25">
      <c r="A425" s="12"/>
      <c r="B425" s="8"/>
      <c r="C425" s="8"/>
      <c r="D425" s="8"/>
      <c r="E425" s="13"/>
    </row>
    <row r="426" spans="1:5" x14ac:dyDescent="0.25">
      <c r="A426" s="12"/>
      <c r="B426" s="8"/>
      <c r="C426" s="8"/>
      <c r="D426" s="8"/>
      <c r="E426" s="13"/>
    </row>
    <row r="427" spans="1:5" x14ac:dyDescent="0.25">
      <c r="A427" s="12"/>
      <c r="B427" s="8"/>
      <c r="C427" s="8"/>
      <c r="D427" s="8"/>
      <c r="E427" s="13"/>
    </row>
    <row r="428" spans="1:5" x14ac:dyDescent="0.25">
      <c r="A428" s="12"/>
      <c r="B428" s="8"/>
      <c r="C428" s="8"/>
      <c r="D428" s="8"/>
      <c r="E428" s="13"/>
    </row>
    <row r="429" spans="1:5" x14ac:dyDescent="0.25">
      <c r="A429" s="12"/>
      <c r="B429" s="8"/>
      <c r="C429" s="8"/>
      <c r="D429" s="8"/>
      <c r="E429" s="13"/>
    </row>
    <row r="430" spans="1:5" x14ac:dyDescent="0.25">
      <c r="A430" s="12"/>
      <c r="B430" s="8"/>
      <c r="C430" s="8"/>
      <c r="D430" s="8"/>
      <c r="E430" s="13"/>
    </row>
    <row r="431" spans="1:5" x14ac:dyDescent="0.25">
      <c r="A431" s="12"/>
      <c r="B431" s="8"/>
      <c r="C431" s="8"/>
      <c r="D431" s="8"/>
      <c r="E431" s="13"/>
    </row>
    <row r="432" spans="1:5" x14ac:dyDescent="0.25">
      <c r="A432" s="12"/>
      <c r="B432" s="8"/>
      <c r="C432" s="8"/>
      <c r="D432" s="8"/>
      <c r="E432" s="13"/>
    </row>
    <row r="433" spans="1:5" x14ac:dyDescent="0.25">
      <c r="A433" s="12"/>
      <c r="B433" s="8"/>
      <c r="C433" s="8"/>
      <c r="D433" s="8"/>
      <c r="E433" s="13"/>
    </row>
    <row r="434" spans="1:5" x14ac:dyDescent="0.25">
      <c r="A434" s="12"/>
      <c r="B434" s="8"/>
      <c r="C434" s="8"/>
      <c r="D434" s="8"/>
      <c r="E434" s="13"/>
    </row>
    <row r="435" spans="1:5" x14ac:dyDescent="0.25">
      <c r="A435" s="12"/>
      <c r="B435" s="8"/>
      <c r="C435" s="8"/>
      <c r="D435" s="8"/>
      <c r="E435" s="13"/>
    </row>
    <row r="436" spans="1:5" x14ac:dyDescent="0.25">
      <c r="A436" s="12"/>
      <c r="B436" s="8"/>
      <c r="C436" s="8"/>
      <c r="D436" s="8"/>
      <c r="E436" s="13"/>
    </row>
    <row r="437" spans="1:5" x14ac:dyDescent="0.25">
      <c r="A437" s="12"/>
      <c r="B437" s="8"/>
      <c r="C437" s="8"/>
      <c r="D437" s="8"/>
      <c r="E437" s="13"/>
    </row>
    <row r="438" spans="1:5" x14ac:dyDescent="0.25">
      <c r="A438" s="12"/>
      <c r="B438" s="8"/>
      <c r="C438" s="8"/>
      <c r="D438" s="8"/>
      <c r="E438" s="13"/>
    </row>
    <row r="439" spans="1:5" x14ac:dyDescent="0.25">
      <c r="A439" s="12"/>
      <c r="B439" s="8"/>
      <c r="C439" s="8"/>
      <c r="D439" s="8"/>
      <c r="E439" s="13"/>
    </row>
    <row r="440" spans="1:5" x14ac:dyDescent="0.25">
      <c r="A440" s="12"/>
      <c r="B440" s="8"/>
      <c r="C440" s="8"/>
      <c r="D440" s="8"/>
      <c r="E440" s="13"/>
    </row>
    <row r="441" spans="1:5" x14ac:dyDescent="0.25">
      <c r="A441" s="12"/>
      <c r="B441" s="8"/>
      <c r="C441" s="8"/>
      <c r="D441" s="8"/>
      <c r="E441" s="13"/>
    </row>
    <row r="442" spans="1:5" x14ac:dyDescent="0.25">
      <c r="A442" s="12"/>
      <c r="B442" s="8"/>
      <c r="C442" s="8"/>
      <c r="D442" s="8"/>
      <c r="E442" s="13"/>
    </row>
    <row r="443" spans="1:5" x14ac:dyDescent="0.25">
      <c r="A443" s="12"/>
      <c r="B443" s="8"/>
      <c r="C443" s="8"/>
      <c r="D443" s="8"/>
      <c r="E443" s="13"/>
    </row>
    <row r="444" spans="1:5" x14ac:dyDescent="0.25">
      <c r="A444" s="12"/>
      <c r="B444" s="8"/>
      <c r="C444" s="8"/>
      <c r="D444" s="8"/>
      <c r="E444" s="13"/>
    </row>
    <row r="445" spans="1:5" x14ac:dyDescent="0.25">
      <c r="A445" s="12"/>
      <c r="B445" s="8"/>
      <c r="C445" s="8"/>
      <c r="D445" s="8"/>
      <c r="E445" s="13"/>
    </row>
    <row r="446" spans="1:5" x14ac:dyDescent="0.25">
      <c r="A446" s="12"/>
      <c r="B446" s="8"/>
      <c r="C446" s="8"/>
      <c r="D446" s="8"/>
      <c r="E446" s="13"/>
    </row>
    <row r="447" spans="1:5" x14ac:dyDescent="0.25">
      <c r="A447" s="12"/>
      <c r="B447" s="8"/>
      <c r="C447" s="8"/>
      <c r="D447" s="8"/>
      <c r="E447" s="13"/>
    </row>
    <row r="448" spans="1:5" x14ac:dyDescent="0.25">
      <c r="A448" s="12"/>
      <c r="B448" s="8"/>
      <c r="C448" s="8"/>
      <c r="D448" s="8"/>
      <c r="E448" s="13"/>
    </row>
    <row r="449" spans="1:5" x14ac:dyDescent="0.25">
      <c r="A449" s="12"/>
      <c r="B449" s="8"/>
      <c r="C449" s="8"/>
      <c r="D449" s="8"/>
      <c r="E449" s="13"/>
    </row>
    <row r="450" spans="1:5" x14ac:dyDescent="0.25">
      <c r="A450" s="12"/>
      <c r="B450" s="8"/>
      <c r="C450" s="8"/>
      <c r="D450" s="8"/>
      <c r="E450" s="13"/>
    </row>
    <row r="451" spans="1:5" x14ac:dyDescent="0.25">
      <c r="A451" s="12"/>
      <c r="B451" s="8"/>
      <c r="C451" s="8"/>
      <c r="D451" s="8"/>
      <c r="E451" s="13"/>
    </row>
    <row r="452" spans="1:5" x14ac:dyDescent="0.25">
      <c r="A452" s="12"/>
      <c r="B452" s="8"/>
      <c r="C452" s="8"/>
      <c r="D452" s="8"/>
      <c r="E452" s="13"/>
    </row>
    <row r="453" spans="1:5" x14ac:dyDescent="0.25">
      <c r="A453" s="12"/>
      <c r="B453" s="8"/>
      <c r="C453" s="8"/>
      <c r="D453" s="8"/>
      <c r="E453" s="13"/>
    </row>
    <row r="454" spans="1:5" x14ac:dyDescent="0.25">
      <c r="A454" s="12"/>
      <c r="B454" s="8"/>
      <c r="C454" s="8"/>
      <c r="D454" s="8"/>
      <c r="E454" s="13"/>
    </row>
    <row r="455" spans="1:5" x14ac:dyDescent="0.25">
      <c r="A455" s="12"/>
      <c r="B455" s="8"/>
      <c r="C455" s="8"/>
      <c r="D455" s="8"/>
      <c r="E455" s="13"/>
    </row>
    <row r="456" spans="1:5" x14ac:dyDescent="0.25">
      <c r="A456" s="12"/>
      <c r="B456" s="8"/>
      <c r="C456" s="8"/>
      <c r="D456" s="8"/>
      <c r="E456" s="13"/>
    </row>
    <row r="457" spans="1:5" x14ac:dyDescent="0.25">
      <c r="A457" s="12"/>
      <c r="B457" s="8"/>
      <c r="C457" s="8"/>
      <c r="D457" s="8"/>
      <c r="E457" s="13"/>
    </row>
    <row r="458" spans="1:5" x14ac:dyDescent="0.25">
      <c r="A458" s="12"/>
      <c r="B458" s="8"/>
      <c r="C458" s="8"/>
      <c r="D458" s="8"/>
      <c r="E458" s="13"/>
    </row>
    <row r="459" spans="1:5" x14ac:dyDescent="0.25">
      <c r="A459" s="12"/>
      <c r="B459" s="8"/>
      <c r="C459" s="8"/>
      <c r="D459" s="8"/>
      <c r="E459" s="13"/>
    </row>
    <row r="460" spans="1:5" x14ac:dyDescent="0.25">
      <c r="A460" s="12"/>
      <c r="B460" s="8"/>
      <c r="C460" s="8"/>
      <c r="D460" s="8"/>
      <c r="E460" s="13"/>
    </row>
    <row r="461" spans="1:5" x14ac:dyDescent="0.25">
      <c r="A461" s="12"/>
      <c r="B461" s="8"/>
      <c r="C461" s="8"/>
      <c r="D461" s="8"/>
      <c r="E461" s="13"/>
    </row>
    <row r="462" spans="1:5" x14ac:dyDescent="0.25">
      <c r="A462" s="12"/>
      <c r="B462" s="8"/>
      <c r="C462" s="8"/>
      <c r="D462" s="8"/>
      <c r="E462" s="13"/>
    </row>
    <row r="463" spans="1:5" x14ac:dyDescent="0.25">
      <c r="A463" s="12"/>
      <c r="B463" s="8"/>
      <c r="C463" s="8"/>
      <c r="D463" s="8"/>
      <c r="E463" s="13"/>
    </row>
    <row r="464" spans="1:5" x14ac:dyDescent="0.25">
      <c r="A464" s="12"/>
      <c r="B464" s="8"/>
      <c r="C464" s="8"/>
      <c r="D464" s="8"/>
      <c r="E464" s="13"/>
    </row>
    <row r="465" spans="1:5" x14ac:dyDescent="0.25">
      <c r="A465" s="12"/>
      <c r="B465" s="8"/>
      <c r="C465" s="8"/>
      <c r="D465" s="8"/>
      <c r="E465" s="13"/>
    </row>
    <row r="466" spans="1:5" x14ac:dyDescent="0.25">
      <c r="A466" s="12"/>
      <c r="B466" s="8"/>
      <c r="C466" s="8"/>
      <c r="D466" s="8"/>
      <c r="E466" s="13"/>
    </row>
    <row r="467" spans="1:5" x14ac:dyDescent="0.25">
      <c r="A467" s="12"/>
      <c r="B467" s="8"/>
      <c r="C467" s="8"/>
      <c r="D467" s="8"/>
      <c r="E467" s="13"/>
    </row>
    <row r="468" spans="1:5" x14ac:dyDescent="0.25">
      <c r="A468" s="12"/>
      <c r="B468" s="8"/>
      <c r="C468" s="8"/>
      <c r="D468" s="8"/>
      <c r="E468" s="13"/>
    </row>
    <row r="469" spans="1:5" x14ac:dyDescent="0.25">
      <c r="A469" s="12"/>
      <c r="B469" s="8"/>
      <c r="C469" s="8"/>
      <c r="D469" s="8"/>
      <c r="E469" s="13"/>
    </row>
    <row r="470" spans="1:5" x14ac:dyDescent="0.25">
      <c r="A470" s="12"/>
      <c r="B470" s="8"/>
      <c r="C470" s="8"/>
      <c r="D470" s="8"/>
      <c r="E470" s="13"/>
    </row>
    <row r="471" spans="1:5" x14ac:dyDescent="0.25">
      <c r="A471" s="12"/>
      <c r="B471" s="8"/>
      <c r="C471" s="8"/>
      <c r="D471" s="8"/>
      <c r="E471" s="13"/>
    </row>
    <row r="472" spans="1:5" x14ac:dyDescent="0.25">
      <c r="A472" s="12"/>
      <c r="B472" s="8"/>
      <c r="C472" s="8"/>
      <c r="D472" s="8"/>
      <c r="E472" s="13"/>
    </row>
    <row r="473" spans="1:5" x14ac:dyDescent="0.25">
      <c r="A473" s="12"/>
      <c r="B473" s="8"/>
      <c r="C473" s="8"/>
      <c r="D473" s="8"/>
      <c r="E473" s="13"/>
    </row>
    <row r="474" spans="1:5" x14ac:dyDescent="0.25">
      <c r="A474" s="12"/>
      <c r="B474" s="8"/>
      <c r="C474" s="8"/>
      <c r="D474" s="8"/>
      <c r="E474" s="13"/>
    </row>
    <row r="475" spans="1:5" x14ac:dyDescent="0.25">
      <c r="A475" s="12"/>
      <c r="B475" s="8"/>
      <c r="C475" s="8"/>
      <c r="D475" s="8"/>
      <c r="E475" s="13"/>
    </row>
    <row r="476" spans="1:5" x14ac:dyDescent="0.25">
      <c r="A476" s="12"/>
      <c r="B476" s="8"/>
      <c r="C476" s="8"/>
      <c r="D476" s="8"/>
      <c r="E476" s="13"/>
    </row>
    <row r="477" spans="1:5" x14ac:dyDescent="0.25">
      <c r="A477" s="12"/>
      <c r="B477" s="8"/>
      <c r="C477" s="8"/>
      <c r="D477" s="8"/>
      <c r="E477" s="13"/>
    </row>
    <row r="478" spans="1:5" x14ac:dyDescent="0.25">
      <c r="A478" s="12"/>
      <c r="B478" s="8"/>
      <c r="C478" s="8"/>
      <c r="D478" s="8"/>
      <c r="E478" s="13"/>
    </row>
    <row r="479" spans="1:5" x14ac:dyDescent="0.25">
      <c r="A479" s="12"/>
      <c r="B479" s="8"/>
      <c r="C479" s="8"/>
      <c r="D479" s="8"/>
      <c r="E479" s="13"/>
    </row>
    <row r="480" spans="1:5" x14ac:dyDescent="0.25">
      <c r="A480" s="12"/>
      <c r="B480" s="8"/>
      <c r="C480" s="8"/>
      <c r="D480" s="8"/>
      <c r="E480" s="13"/>
    </row>
    <row r="481" spans="1:5" x14ac:dyDescent="0.25">
      <c r="A481" s="12"/>
      <c r="B481" s="8"/>
      <c r="C481" s="8"/>
      <c r="D481" s="8"/>
      <c r="E481" s="13"/>
    </row>
    <row r="482" spans="1:5" x14ac:dyDescent="0.25">
      <c r="A482" s="12"/>
      <c r="B482" s="8"/>
      <c r="C482" s="8"/>
      <c r="D482" s="8"/>
      <c r="E482" s="13"/>
    </row>
    <row r="483" spans="1:5" x14ac:dyDescent="0.25">
      <c r="A483" s="12"/>
      <c r="B483" s="8"/>
      <c r="C483" s="8"/>
      <c r="D483" s="8"/>
      <c r="E483" s="13"/>
    </row>
    <row r="484" spans="1:5" x14ac:dyDescent="0.25">
      <c r="A484" s="12"/>
      <c r="B484" s="8"/>
      <c r="C484" s="8"/>
      <c r="D484" s="8"/>
      <c r="E484" s="13"/>
    </row>
    <row r="485" spans="1:5" x14ac:dyDescent="0.25">
      <c r="A485" s="12"/>
      <c r="B485" s="8"/>
      <c r="C485" s="8"/>
      <c r="D485" s="8"/>
      <c r="E485" s="13"/>
    </row>
    <row r="486" spans="1:5" x14ac:dyDescent="0.25">
      <c r="A486" s="12"/>
      <c r="B486" s="8"/>
      <c r="C486" s="8"/>
      <c r="D486" s="8"/>
      <c r="E486" s="13"/>
    </row>
    <row r="487" spans="1:5" x14ac:dyDescent="0.25">
      <c r="A487" s="12"/>
      <c r="B487" s="8"/>
      <c r="C487" s="8"/>
      <c r="D487" s="8"/>
      <c r="E487" s="13"/>
    </row>
    <row r="488" spans="1:5" x14ac:dyDescent="0.25">
      <c r="A488" s="12"/>
      <c r="B488" s="8"/>
      <c r="C488" s="8"/>
      <c r="D488" s="8"/>
      <c r="E488" s="13"/>
    </row>
    <row r="489" spans="1:5" x14ac:dyDescent="0.25">
      <c r="A489" s="12"/>
      <c r="B489" s="8"/>
      <c r="C489" s="8"/>
      <c r="D489" s="8"/>
      <c r="E489" s="13"/>
    </row>
    <row r="490" spans="1:5" x14ac:dyDescent="0.25">
      <c r="A490" s="12"/>
      <c r="B490" s="8"/>
      <c r="C490" s="8"/>
      <c r="D490" s="8"/>
      <c r="E490" s="13"/>
    </row>
    <row r="491" spans="1:5" x14ac:dyDescent="0.25">
      <c r="A491" s="12"/>
      <c r="B491" s="8"/>
      <c r="C491" s="8"/>
      <c r="D491" s="8"/>
      <c r="E491" s="13"/>
    </row>
    <row r="492" spans="1:5" x14ac:dyDescent="0.25">
      <c r="A492" s="12"/>
      <c r="B492" s="8"/>
      <c r="C492" s="8"/>
      <c r="D492" s="8"/>
      <c r="E492" s="13"/>
    </row>
    <row r="493" spans="1:5" x14ac:dyDescent="0.25">
      <c r="A493" s="12"/>
      <c r="B493" s="8"/>
      <c r="C493" s="8"/>
      <c r="D493" s="8"/>
      <c r="E493" s="13"/>
    </row>
    <row r="494" spans="1:5" x14ac:dyDescent="0.25">
      <c r="A494" s="12"/>
      <c r="B494" s="8"/>
      <c r="C494" s="8"/>
      <c r="D494" s="8"/>
      <c r="E494" s="13"/>
    </row>
    <row r="495" spans="1:5" x14ac:dyDescent="0.25">
      <c r="A495" s="12"/>
      <c r="B495" s="8"/>
      <c r="C495" s="8"/>
      <c r="D495" s="8"/>
      <c r="E495" s="13"/>
    </row>
    <row r="496" spans="1:5" x14ac:dyDescent="0.25">
      <c r="A496" s="12"/>
      <c r="B496" s="8"/>
      <c r="C496" s="8"/>
      <c r="D496" s="8"/>
      <c r="E496" s="13"/>
    </row>
    <row r="497" spans="1:5" x14ac:dyDescent="0.25">
      <c r="A497" s="12"/>
      <c r="B497" s="8"/>
      <c r="C497" s="8"/>
      <c r="D497" s="8"/>
      <c r="E497" s="13"/>
    </row>
    <row r="498" spans="1:5" x14ac:dyDescent="0.25">
      <c r="A498" s="12"/>
      <c r="B498" s="8"/>
      <c r="C498" s="8"/>
      <c r="D498" s="8"/>
      <c r="E498" s="13"/>
    </row>
    <row r="499" spans="1:5" x14ac:dyDescent="0.25">
      <c r="A499" s="12"/>
      <c r="B499" s="8"/>
      <c r="C499" s="8"/>
      <c r="D499" s="8"/>
      <c r="E499" s="13"/>
    </row>
    <row r="500" spans="1:5" x14ac:dyDescent="0.25">
      <c r="A500" s="12"/>
      <c r="B500" s="8"/>
      <c r="C500" s="8"/>
      <c r="D500" s="8"/>
      <c r="E500" s="13"/>
    </row>
    <row r="501" spans="1:5" x14ac:dyDescent="0.25">
      <c r="A501" s="12"/>
      <c r="B501" s="8"/>
      <c r="C501" s="8"/>
      <c r="D501" s="8"/>
      <c r="E501" s="13"/>
    </row>
    <row r="502" spans="1:5" x14ac:dyDescent="0.25">
      <c r="A502" s="12"/>
      <c r="B502" s="8"/>
      <c r="C502" s="8"/>
      <c r="D502" s="8"/>
      <c r="E502" s="13"/>
    </row>
    <row r="503" spans="1:5" x14ac:dyDescent="0.25">
      <c r="A503" s="12"/>
      <c r="B503" s="8"/>
      <c r="C503" s="8"/>
      <c r="D503" s="8"/>
      <c r="E503" s="13"/>
    </row>
    <row r="504" spans="1:5" x14ac:dyDescent="0.25">
      <c r="A504" s="12"/>
      <c r="B504" s="8"/>
      <c r="C504" s="8"/>
      <c r="D504" s="8"/>
      <c r="E504" s="13"/>
    </row>
    <row r="505" spans="1:5" x14ac:dyDescent="0.25">
      <c r="A505" s="12"/>
      <c r="B505" s="8"/>
      <c r="C505" s="8"/>
      <c r="D505" s="8"/>
      <c r="E505" s="13"/>
    </row>
    <row r="506" spans="1:5" x14ac:dyDescent="0.25">
      <c r="A506" s="12"/>
      <c r="B506" s="8"/>
      <c r="C506" s="8"/>
      <c r="D506" s="8"/>
      <c r="E506" s="13"/>
    </row>
    <row r="507" spans="1:5" x14ac:dyDescent="0.25">
      <c r="A507" s="12"/>
      <c r="B507" s="8"/>
      <c r="C507" s="8"/>
      <c r="D507" s="8"/>
      <c r="E507" s="13"/>
    </row>
    <row r="508" spans="1:5" x14ac:dyDescent="0.25">
      <c r="A508" s="12"/>
      <c r="B508" s="8"/>
      <c r="C508" s="8"/>
      <c r="D508" s="8"/>
      <c r="E508" s="13"/>
    </row>
    <row r="509" spans="1:5" x14ac:dyDescent="0.25">
      <c r="A509" s="12"/>
      <c r="B509" s="8"/>
      <c r="C509" s="8"/>
      <c r="D509" s="8"/>
      <c r="E509" s="13"/>
    </row>
    <row r="510" spans="1:5" x14ac:dyDescent="0.25">
      <c r="A510" s="12"/>
      <c r="B510" s="8"/>
      <c r="C510" s="8"/>
      <c r="D510" s="8"/>
      <c r="E510" s="13"/>
    </row>
    <row r="511" spans="1:5" x14ac:dyDescent="0.25">
      <c r="A511" s="12"/>
      <c r="B511" s="8"/>
      <c r="C511" s="8"/>
      <c r="D511" s="8"/>
      <c r="E511" s="13"/>
    </row>
    <row r="512" spans="1:5" x14ac:dyDescent="0.25">
      <c r="A512" s="12"/>
      <c r="B512" s="8"/>
      <c r="C512" s="8"/>
      <c r="D512" s="8"/>
      <c r="E512" s="13"/>
    </row>
    <row r="513" spans="1:5" x14ac:dyDescent="0.25">
      <c r="A513" s="12"/>
      <c r="B513" s="8"/>
      <c r="C513" s="8"/>
      <c r="D513" s="8"/>
      <c r="E513" s="13"/>
    </row>
    <row r="514" spans="1:5" x14ac:dyDescent="0.25">
      <c r="A514" s="12"/>
      <c r="B514" s="8"/>
      <c r="C514" s="8"/>
      <c r="D514" s="8"/>
      <c r="E514" s="13"/>
    </row>
    <row r="515" spans="1:5" x14ac:dyDescent="0.25">
      <c r="A515" s="12"/>
      <c r="B515" s="8"/>
      <c r="C515" s="8"/>
      <c r="D515" s="8"/>
      <c r="E515" s="13"/>
    </row>
    <row r="516" spans="1:5" x14ac:dyDescent="0.25">
      <c r="A516" s="12"/>
      <c r="B516" s="8"/>
      <c r="C516" s="8"/>
      <c r="D516" s="8"/>
      <c r="E516" s="13"/>
    </row>
    <row r="517" spans="1:5" x14ac:dyDescent="0.25">
      <c r="A517" s="12"/>
      <c r="B517" s="8"/>
      <c r="C517" s="8"/>
      <c r="D517" s="8"/>
      <c r="E517" s="13"/>
    </row>
    <row r="518" spans="1:5" x14ac:dyDescent="0.25">
      <c r="A518" s="12"/>
      <c r="B518" s="8"/>
      <c r="C518" s="8"/>
      <c r="D518" s="8"/>
      <c r="E518" s="13"/>
    </row>
    <row r="519" spans="1:5" x14ac:dyDescent="0.25">
      <c r="A519" s="12"/>
      <c r="B519" s="8"/>
      <c r="C519" s="8"/>
      <c r="D519" s="8"/>
      <c r="E519" s="13"/>
    </row>
    <row r="520" spans="1:5" x14ac:dyDescent="0.25">
      <c r="A520" s="12"/>
      <c r="B520" s="8"/>
      <c r="C520" s="8"/>
      <c r="D520" s="8"/>
      <c r="E520" s="13"/>
    </row>
    <row r="521" spans="1:5" x14ac:dyDescent="0.25">
      <c r="A521" s="12"/>
      <c r="B521" s="8"/>
      <c r="C521" s="8"/>
      <c r="D521" s="8"/>
      <c r="E521" s="13"/>
    </row>
    <row r="522" spans="1:5" x14ac:dyDescent="0.25">
      <c r="A522" s="12"/>
      <c r="B522" s="8"/>
      <c r="C522" s="8"/>
      <c r="D522" s="8"/>
      <c r="E522" s="13"/>
    </row>
    <row r="523" spans="1:5" x14ac:dyDescent="0.25">
      <c r="A523" s="12"/>
      <c r="B523" s="8"/>
      <c r="C523" s="8"/>
      <c r="D523" s="8"/>
      <c r="E523" s="13"/>
    </row>
    <row r="524" spans="1:5" x14ac:dyDescent="0.25">
      <c r="A524" s="12"/>
      <c r="B524" s="8"/>
      <c r="C524" s="8"/>
      <c r="D524" s="8"/>
      <c r="E524" s="13"/>
    </row>
    <row r="525" spans="1:5" x14ac:dyDescent="0.25">
      <c r="A525" s="12"/>
      <c r="B525" s="8"/>
      <c r="C525" s="8"/>
      <c r="D525" s="8"/>
      <c r="E525" s="13"/>
    </row>
    <row r="526" spans="1:5" x14ac:dyDescent="0.25">
      <c r="A526" s="12"/>
      <c r="B526" s="8"/>
      <c r="C526" s="8"/>
      <c r="D526" s="8"/>
      <c r="E526" s="13"/>
    </row>
    <row r="527" spans="1:5" x14ac:dyDescent="0.25">
      <c r="A527" s="12"/>
      <c r="B527" s="8"/>
      <c r="C527" s="8"/>
      <c r="D527" s="8"/>
      <c r="E527" s="13"/>
    </row>
    <row r="528" spans="1:5" x14ac:dyDescent="0.25">
      <c r="A528" s="12"/>
      <c r="B528" s="8"/>
      <c r="C528" s="8"/>
      <c r="D528" s="8"/>
      <c r="E528" s="13"/>
    </row>
    <row r="529" spans="1:5" x14ac:dyDescent="0.25">
      <c r="A529" s="12"/>
      <c r="B529" s="8"/>
      <c r="C529" s="8"/>
      <c r="D529" s="8"/>
      <c r="E529" s="13"/>
    </row>
    <row r="530" spans="1:5" x14ac:dyDescent="0.25">
      <c r="A530" s="12"/>
      <c r="B530" s="8"/>
      <c r="C530" s="8"/>
      <c r="D530" s="8"/>
      <c r="E530" s="13"/>
    </row>
    <row r="531" spans="1:5" x14ac:dyDescent="0.25">
      <c r="A531" s="12"/>
      <c r="B531" s="8"/>
      <c r="C531" s="8"/>
      <c r="D531" s="8"/>
      <c r="E531" s="13"/>
    </row>
    <row r="532" spans="1:5" x14ac:dyDescent="0.25">
      <c r="A532" s="12"/>
      <c r="B532" s="8"/>
      <c r="C532" s="8"/>
      <c r="D532" s="8"/>
      <c r="E532" s="13"/>
    </row>
    <row r="533" spans="1:5" x14ac:dyDescent="0.25">
      <c r="A533" s="12"/>
      <c r="B533" s="8"/>
      <c r="C533" s="8"/>
      <c r="D533" s="8"/>
      <c r="E533" s="13"/>
    </row>
    <row r="534" spans="1:5" x14ac:dyDescent="0.25">
      <c r="A534" s="12"/>
      <c r="B534" s="8"/>
      <c r="C534" s="8"/>
      <c r="D534" s="8"/>
      <c r="E534" s="13"/>
    </row>
    <row r="535" spans="1:5" x14ac:dyDescent="0.25">
      <c r="A535" s="12"/>
      <c r="B535" s="8"/>
      <c r="C535" s="8"/>
      <c r="D535" s="8"/>
      <c r="E535" s="13"/>
    </row>
    <row r="536" spans="1:5" x14ac:dyDescent="0.25">
      <c r="A536" s="12"/>
      <c r="B536" s="8"/>
      <c r="C536" s="8"/>
      <c r="D536" s="8"/>
      <c r="E536" s="13"/>
    </row>
    <row r="537" spans="1:5" x14ac:dyDescent="0.25">
      <c r="A537" s="12"/>
      <c r="B537" s="8"/>
      <c r="C537" s="8"/>
      <c r="D537" s="8"/>
      <c r="E537" s="13"/>
    </row>
    <row r="538" spans="1:5" x14ac:dyDescent="0.25">
      <c r="A538" s="12"/>
      <c r="B538" s="8"/>
      <c r="C538" s="8"/>
      <c r="D538" s="8"/>
      <c r="E538" s="13"/>
    </row>
    <row r="539" spans="1:5" x14ac:dyDescent="0.25">
      <c r="A539" s="12"/>
      <c r="B539" s="8"/>
      <c r="C539" s="8"/>
      <c r="D539" s="8"/>
      <c r="E539" s="13"/>
    </row>
    <row r="540" spans="1:5" x14ac:dyDescent="0.25">
      <c r="A540" s="12"/>
      <c r="B540" s="8"/>
      <c r="C540" s="8"/>
      <c r="D540" s="8"/>
      <c r="E540" s="13"/>
    </row>
    <row r="541" spans="1:5" x14ac:dyDescent="0.25">
      <c r="A541" s="12"/>
      <c r="B541" s="8"/>
      <c r="C541" s="8"/>
      <c r="D541" s="8"/>
      <c r="E541" s="13"/>
    </row>
    <row r="542" spans="1:5" x14ac:dyDescent="0.25">
      <c r="A542" s="12"/>
      <c r="B542" s="8"/>
      <c r="C542" s="8"/>
      <c r="D542" s="8"/>
      <c r="E542" s="13"/>
    </row>
    <row r="543" spans="1:5" x14ac:dyDescent="0.25">
      <c r="A543" s="12"/>
      <c r="B543" s="8"/>
      <c r="C543" s="8"/>
      <c r="D543" s="8"/>
      <c r="E543" s="13"/>
    </row>
    <row r="544" spans="1:5" x14ac:dyDescent="0.25">
      <c r="A544" s="12"/>
      <c r="B544" s="8"/>
      <c r="C544" s="8"/>
      <c r="D544" s="8"/>
      <c r="E544" s="13"/>
    </row>
    <row r="545" spans="1:5" x14ac:dyDescent="0.25">
      <c r="A545" s="12"/>
      <c r="B545" s="8"/>
      <c r="C545" s="8"/>
      <c r="D545" s="8"/>
      <c r="E545" s="13"/>
    </row>
    <row r="546" spans="1:5" x14ac:dyDescent="0.25">
      <c r="A546" s="12"/>
      <c r="B546" s="8"/>
      <c r="C546" s="8"/>
      <c r="D546" s="8"/>
      <c r="E546" s="13"/>
    </row>
    <row r="547" spans="1:5" x14ac:dyDescent="0.25">
      <c r="A547" s="12"/>
      <c r="B547" s="8"/>
      <c r="C547" s="8"/>
      <c r="D547" s="8"/>
      <c r="E547" s="13"/>
    </row>
    <row r="548" spans="1:5" x14ac:dyDescent="0.25">
      <c r="A548" s="12"/>
      <c r="B548" s="8"/>
      <c r="C548" s="8"/>
      <c r="D548" s="8"/>
      <c r="E548" s="13"/>
    </row>
    <row r="549" spans="1:5" x14ac:dyDescent="0.25">
      <c r="A549" s="12"/>
      <c r="B549" s="8"/>
      <c r="C549" s="8"/>
      <c r="D549" s="8"/>
      <c r="E549" s="13"/>
    </row>
    <row r="550" spans="1:5" x14ac:dyDescent="0.25">
      <c r="A550" s="12"/>
      <c r="B550" s="8"/>
      <c r="C550" s="8"/>
      <c r="D550" s="8"/>
      <c r="E550" s="13"/>
    </row>
    <row r="551" spans="1:5" x14ac:dyDescent="0.25">
      <c r="A551" s="12"/>
      <c r="B551" s="8"/>
      <c r="C551" s="8"/>
      <c r="D551" s="8"/>
      <c r="E551" s="13"/>
    </row>
    <row r="552" spans="1:5" x14ac:dyDescent="0.25">
      <c r="A552" s="12"/>
      <c r="B552" s="8"/>
      <c r="C552" s="8"/>
      <c r="D552" s="8"/>
      <c r="E552" s="13"/>
    </row>
    <row r="553" spans="1:5" x14ac:dyDescent="0.25">
      <c r="A553" s="12"/>
      <c r="B553" s="8"/>
      <c r="C553" s="8"/>
      <c r="D553" s="8"/>
      <c r="E553" s="13"/>
    </row>
    <row r="554" spans="1:5" x14ac:dyDescent="0.25">
      <c r="A554" s="12"/>
      <c r="B554" s="8"/>
      <c r="C554" s="8"/>
      <c r="D554" s="8"/>
      <c r="E554" s="13"/>
    </row>
    <row r="555" spans="1:5" x14ac:dyDescent="0.25">
      <c r="A555" s="12"/>
      <c r="B555" s="8"/>
      <c r="C555" s="8"/>
      <c r="D555" s="8"/>
      <c r="E555" s="13"/>
    </row>
    <row r="556" spans="1:5" x14ac:dyDescent="0.25">
      <c r="A556" s="12"/>
      <c r="B556" s="8"/>
      <c r="C556" s="8"/>
      <c r="D556" s="8"/>
      <c r="E556" s="13"/>
    </row>
    <row r="557" spans="1:5" x14ac:dyDescent="0.25">
      <c r="A557" s="12"/>
      <c r="B557" s="8"/>
      <c r="C557" s="8"/>
      <c r="D557" s="8"/>
      <c r="E557" s="13"/>
    </row>
    <row r="558" spans="1:5" x14ac:dyDescent="0.25">
      <c r="A558" s="12"/>
      <c r="B558" s="8"/>
      <c r="C558" s="8"/>
      <c r="D558" s="8"/>
      <c r="E558" s="13"/>
    </row>
    <row r="559" spans="1:5" x14ac:dyDescent="0.25">
      <c r="A559" s="12"/>
      <c r="B559" s="8"/>
      <c r="C559" s="8"/>
      <c r="D559" s="8"/>
      <c r="E559" s="13"/>
    </row>
    <row r="560" spans="1:5" x14ac:dyDescent="0.25">
      <c r="A560" s="12"/>
      <c r="B560" s="8"/>
      <c r="C560" s="8"/>
      <c r="D560" s="8"/>
      <c r="E560" s="13"/>
    </row>
    <row r="561" spans="1:5" x14ac:dyDescent="0.25">
      <c r="A561" s="12"/>
      <c r="B561" s="8"/>
      <c r="C561" s="8"/>
      <c r="D561" s="8"/>
      <c r="E561" s="13"/>
    </row>
    <row r="562" spans="1:5" x14ac:dyDescent="0.25">
      <c r="A562" s="12"/>
      <c r="B562" s="8"/>
      <c r="C562" s="8"/>
      <c r="D562" s="8"/>
      <c r="E562" s="13"/>
    </row>
    <row r="563" spans="1:5" x14ac:dyDescent="0.25">
      <c r="A563" s="12"/>
      <c r="B563" s="8"/>
      <c r="C563" s="8"/>
      <c r="D563" s="8"/>
      <c r="E563" s="13"/>
    </row>
    <row r="564" spans="1:5" x14ac:dyDescent="0.25">
      <c r="A564" s="12"/>
      <c r="B564" s="8"/>
      <c r="C564" s="8"/>
      <c r="D564" s="8"/>
      <c r="E564" s="13"/>
    </row>
    <row r="565" spans="1:5" x14ac:dyDescent="0.25">
      <c r="A565" s="12"/>
      <c r="B565" s="8"/>
      <c r="C565" s="8"/>
      <c r="D565" s="8"/>
      <c r="E565" s="13"/>
    </row>
    <row r="566" spans="1:5" x14ac:dyDescent="0.25">
      <c r="A566" s="12"/>
      <c r="B566" s="8"/>
      <c r="C566" s="8"/>
      <c r="D566" s="8"/>
      <c r="E566" s="13"/>
    </row>
    <row r="567" spans="1:5" x14ac:dyDescent="0.25">
      <c r="A567" s="12"/>
      <c r="B567" s="8"/>
      <c r="C567" s="8"/>
      <c r="D567" s="8"/>
      <c r="E567" s="13"/>
    </row>
    <row r="568" spans="1:5" x14ac:dyDescent="0.25">
      <c r="A568" s="12"/>
      <c r="B568" s="8"/>
      <c r="C568" s="8"/>
      <c r="D568" s="8"/>
      <c r="E568" s="13"/>
    </row>
    <row r="569" spans="1:5" x14ac:dyDescent="0.25">
      <c r="A569" s="12"/>
      <c r="B569" s="8"/>
      <c r="C569" s="8"/>
      <c r="D569" s="8"/>
      <c r="E569" s="13"/>
    </row>
    <row r="570" spans="1:5" x14ac:dyDescent="0.25">
      <c r="A570" s="12"/>
      <c r="B570" s="8"/>
      <c r="C570" s="8"/>
      <c r="D570" s="8"/>
      <c r="E570" s="13"/>
    </row>
    <row r="571" spans="1:5" x14ac:dyDescent="0.25">
      <c r="A571" s="12"/>
      <c r="B571" s="8"/>
      <c r="C571" s="8"/>
      <c r="D571" s="8"/>
      <c r="E571" s="13"/>
    </row>
    <row r="572" spans="1:5" x14ac:dyDescent="0.25">
      <c r="A572" s="12"/>
      <c r="B572" s="8"/>
      <c r="C572" s="8"/>
      <c r="D572" s="8"/>
      <c r="E572" s="13"/>
    </row>
    <row r="573" spans="1:5" x14ac:dyDescent="0.25">
      <c r="A573" s="12"/>
      <c r="B573" s="8"/>
      <c r="C573" s="8"/>
      <c r="D573" s="8"/>
      <c r="E573" s="13"/>
    </row>
    <row r="574" spans="1:5" x14ac:dyDescent="0.25">
      <c r="A574" s="12"/>
      <c r="B574" s="8"/>
      <c r="C574" s="8"/>
      <c r="D574" s="8"/>
      <c r="E574" s="13"/>
    </row>
    <row r="575" spans="1:5" x14ac:dyDescent="0.25">
      <c r="A575" s="12"/>
      <c r="B575" s="8"/>
      <c r="C575" s="8"/>
      <c r="D575" s="8"/>
      <c r="E575" s="13"/>
    </row>
    <row r="576" spans="1:5" x14ac:dyDescent="0.25">
      <c r="A576" s="12"/>
      <c r="B576" s="8"/>
      <c r="C576" s="8"/>
      <c r="D576" s="8"/>
      <c r="E576" s="13"/>
    </row>
    <row r="577" spans="1:5" x14ac:dyDescent="0.25">
      <c r="A577" s="12"/>
      <c r="B577" s="8"/>
      <c r="C577" s="8"/>
      <c r="D577" s="8"/>
      <c r="E577" s="13"/>
    </row>
    <row r="578" spans="1:5" x14ac:dyDescent="0.25">
      <c r="A578" s="12"/>
      <c r="B578" s="8"/>
      <c r="C578" s="8"/>
      <c r="D578" s="8"/>
      <c r="E578" s="13"/>
    </row>
    <row r="579" spans="1:5" x14ac:dyDescent="0.25">
      <c r="A579" s="12"/>
      <c r="B579" s="8"/>
      <c r="C579" s="8"/>
      <c r="D579" s="8"/>
      <c r="E579" s="13"/>
    </row>
    <row r="580" spans="1:5" x14ac:dyDescent="0.25">
      <c r="A580" s="12"/>
      <c r="B580" s="8"/>
      <c r="C580" s="8"/>
      <c r="D580" s="8"/>
      <c r="E580" s="13"/>
    </row>
    <row r="581" spans="1:5" x14ac:dyDescent="0.25">
      <c r="A581" s="12"/>
      <c r="B581" s="8"/>
      <c r="C581" s="8"/>
      <c r="D581" s="8"/>
      <c r="E581" s="13"/>
    </row>
    <row r="582" spans="1:5" x14ac:dyDescent="0.25">
      <c r="A582" s="12"/>
      <c r="B582" s="8"/>
      <c r="C582" s="8"/>
      <c r="D582" s="8"/>
      <c r="E582" s="13"/>
    </row>
    <row r="583" spans="1:5" x14ac:dyDescent="0.25">
      <c r="A583" s="12"/>
      <c r="B583" s="8"/>
      <c r="C583" s="8"/>
      <c r="D583" s="8"/>
      <c r="E583" s="13"/>
    </row>
    <row r="584" spans="1:5" x14ac:dyDescent="0.25">
      <c r="A584" s="12"/>
      <c r="B584" s="8"/>
      <c r="C584" s="8"/>
      <c r="D584" s="8"/>
      <c r="E584" s="13"/>
    </row>
    <row r="585" spans="1:5" x14ac:dyDescent="0.25">
      <c r="A585" s="12"/>
      <c r="B585" s="8"/>
      <c r="C585" s="8"/>
      <c r="D585" s="8"/>
      <c r="E585" s="13"/>
    </row>
    <row r="586" spans="1:5" x14ac:dyDescent="0.25">
      <c r="A586" s="12"/>
      <c r="B586" s="8"/>
      <c r="C586" s="8"/>
      <c r="D586" s="8"/>
      <c r="E586" s="13"/>
    </row>
    <row r="587" spans="1:5" x14ac:dyDescent="0.25">
      <c r="A587" s="12"/>
      <c r="B587" s="8"/>
      <c r="C587" s="8"/>
      <c r="D587" s="8"/>
      <c r="E587" s="13"/>
    </row>
    <row r="588" spans="1:5" x14ac:dyDescent="0.25">
      <c r="A588" s="12"/>
      <c r="B588" s="8"/>
      <c r="C588" s="8"/>
      <c r="D588" s="8"/>
      <c r="E588" s="13"/>
    </row>
    <row r="589" spans="1:5" x14ac:dyDescent="0.25">
      <c r="A589" s="12"/>
      <c r="B589" s="8"/>
      <c r="C589" s="8"/>
      <c r="D589" s="8"/>
      <c r="E589" s="13"/>
    </row>
    <row r="590" spans="1:5" x14ac:dyDescent="0.25">
      <c r="A590" s="12"/>
      <c r="B590" s="8"/>
      <c r="C590" s="8"/>
      <c r="D590" s="8"/>
      <c r="E590" s="13"/>
    </row>
    <row r="591" spans="1:5" x14ac:dyDescent="0.25">
      <c r="A591" s="12"/>
      <c r="B591" s="8"/>
      <c r="C591" s="8"/>
      <c r="D591" s="8"/>
      <c r="E591" s="13"/>
    </row>
    <row r="592" spans="1:5" x14ac:dyDescent="0.25">
      <c r="A592" s="12"/>
      <c r="B592" s="8"/>
      <c r="C592" s="8"/>
      <c r="D592" s="8"/>
      <c r="E592" s="13"/>
    </row>
    <row r="593" spans="1:5" x14ac:dyDescent="0.25">
      <c r="A593" s="12"/>
      <c r="B593" s="8"/>
      <c r="C593" s="8"/>
      <c r="D593" s="8"/>
      <c r="E593" s="13"/>
    </row>
    <row r="594" spans="1:5" x14ac:dyDescent="0.25">
      <c r="A594" s="12"/>
      <c r="B594" s="8"/>
      <c r="C594" s="8"/>
      <c r="D594" s="8"/>
      <c r="E594" s="13"/>
    </row>
    <row r="595" spans="1:5" x14ac:dyDescent="0.25">
      <c r="A595" s="12"/>
      <c r="B595" s="8"/>
      <c r="C595" s="8"/>
      <c r="D595" s="8"/>
      <c r="E595" s="13"/>
    </row>
    <row r="596" spans="1:5" x14ac:dyDescent="0.25">
      <c r="A596" s="12"/>
      <c r="B596" s="8"/>
      <c r="C596" s="8"/>
      <c r="D596" s="8"/>
      <c r="E596" s="13"/>
    </row>
    <row r="597" spans="1:5" x14ac:dyDescent="0.25">
      <c r="A597" s="12"/>
      <c r="B597" s="8"/>
      <c r="C597" s="8"/>
      <c r="D597" s="8"/>
      <c r="E597" s="13"/>
    </row>
    <row r="598" spans="1:5" x14ac:dyDescent="0.25">
      <c r="A598" s="12"/>
      <c r="B598" s="8"/>
      <c r="C598" s="8"/>
      <c r="D598" s="8"/>
      <c r="E598" s="13"/>
    </row>
    <row r="599" spans="1:5" x14ac:dyDescent="0.25">
      <c r="A599" s="12"/>
      <c r="B599" s="8"/>
      <c r="C599" s="8"/>
      <c r="D599" s="8"/>
      <c r="E599" s="13"/>
    </row>
    <row r="600" spans="1:5" x14ac:dyDescent="0.25">
      <c r="A600" s="12"/>
      <c r="B600" s="8"/>
      <c r="C600" s="8"/>
      <c r="D600" s="8"/>
      <c r="E600" s="13"/>
    </row>
    <row r="601" spans="1:5" x14ac:dyDescent="0.25">
      <c r="A601" s="12"/>
      <c r="B601" s="8"/>
      <c r="C601" s="8"/>
      <c r="D601" s="8"/>
      <c r="E601" s="13"/>
    </row>
    <row r="602" spans="1:5" x14ac:dyDescent="0.25">
      <c r="A602" s="12"/>
      <c r="B602" s="8"/>
      <c r="C602" s="8"/>
      <c r="D602" s="8"/>
      <c r="E602" s="13"/>
    </row>
    <row r="603" spans="1:5" x14ac:dyDescent="0.25">
      <c r="A603" s="12"/>
      <c r="B603" s="8"/>
      <c r="C603" s="8"/>
      <c r="D603" s="8"/>
      <c r="E603" s="13"/>
    </row>
    <row r="604" spans="1:5" x14ac:dyDescent="0.25">
      <c r="A604" s="12"/>
      <c r="B604" s="8"/>
      <c r="C604" s="8"/>
      <c r="D604" s="8"/>
      <c r="E604" s="13"/>
    </row>
    <row r="605" spans="1:5" x14ac:dyDescent="0.25">
      <c r="A605" s="12"/>
      <c r="B605" s="8"/>
      <c r="C605" s="8"/>
      <c r="D605" s="8"/>
      <c r="E605" s="13"/>
    </row>
    <row r="606" spans="1:5" x14ac:dyDescent="0.25">
      <c r="A606" s="12"/>
      <c r="B606" s="8"/>
      <c r="C606" s="8"/>
      <c r="D606" s="8"/>
      <c r="E606" s="13"/>
    </row>
    <row r="607" spans="1:5" x14ac:dyDescent="0.25">
      <c r="A607" s="12"/>
      <c r="B607" s="8"/>
      <c r="C607" s="8"/>
      <c r="D607" s="8"/>
      <c r="E607" s="13"/>
    </row>
    <row r="608" spans="1:5" x14ac:dyDescent="0.25">
      <c r="A608" s="12"/>
      <c r="B608" s="8"/>
      <c r="C608" s="8"/>
      <c r="D608" s="8"/>
      <c r="E608" s="13"/>
    </row>
    <row r="609" spans="1:5" x14ac:dyDescent="0.25">
      <c r="A609" s="12"/>
      <c r="B609" s="8"/>
      <c r="C609" s="8"/>
      <c r="D609" s="8"/>
      <c r="E609" s="13"/>
    </row>
    <row r="610" spans="1:5" x14ac:dyDescent="0.25">
      <c r="A610" s="12"/>
      <c r="B610" s="8"/>
      <c r="C610" s="8"/>
      <c r="D610" s="8"/>
      <c r="E610" s="13"/>
    </row>
    <row r="611" spans="1:5" x14ac:dyDescent="0.25">
      <c r="A611" s="12"/>
      <c r="B611" s="8"/>
      <c r="C611" s="8"/>
      <c r="D611" s="8"/>
      <c r="E611" s="13"/>
    </row>
    <row r="612" spans="1:5" x14ac:dyDescent="0.25">
      <c r="A612" s="12"/>
      <c r="B612" s="8"/>
      <c r="C612" s="8"/>
      <c r="D612" s="8"/>
      <c r="E612" s="13"/>
    </row>
    <row r="613" spans="1:5" x14ac:dyDescent="0.25">
      <c r="A613" s="12"/>
      <c r="B613" s="8"/>
      <c r="C613" s="8"/>
      <c r="D613" s="8"/>
      <c r="E613" s="13"/>
    </row>
    <row r="614" spans="1:5" x14ac:dyDescent="0.25">
      <c r="A614" s="12"/>
      <c r="B614" s="8"/>
      <c r="C614" s="8"/>
      <c r="D614" s="8"/>
      <c r="E614" s="13"/>
    </row>
    <row r="615" spans="1:5" x14ac:dyDescent="0.25">
      <c r="A615" s="12"/>
      <c r="B615" s="8"/>
      <c r="C615" s="8"/>
      <c r="D615" s="8"/>
      <c r="E615" s="13"/>
    </row>
    <row r="616" spans="1:5" x14ac:dyDescent="0.25">
      <c r="A616" s="12"/>
      <c r="B616" s="8"/>
      <c r="C616" s="8"/>
      <c r="D616" s="8"/>
      <c r="E616" s="13"/>
    </row>
    <row r="617" spans="1:5" x14ac:dyDescent="0.25">
      <c r="A617" s="12"/>
      <c r="B617" s="8"/>
      <c r="C617" s="8"/>
      <c r="D617" s="8"/>
      <c r="E617" s="13"/>
    </row>
    <row r="618" spans="1:5" x14ac:dyDescent="0.25">
      <c r="A618" s="12"/>
      <c r="B618" s="8"/>
      <c r="C618" s="8"/>
      <c r="D618" s="8"/>
      <c r="E618" s="13"/>
    </row>
    <row r="619" spans="1:5" x14ac:dyDescent="0.25">
      <c r="A619" s="12"/>
      <c r="B619" s="8"/>
      <c r="C619" s="8"/>
      <c r="D619" s="8"/>
      <c r="E619" s="13"/>
    </row>
    <row r="620" spans="1:5" x14ac:dyDescent="0.25">
      <c r="A620" s="12"/>
      <c r="B620" s="8"/>
      <c r="C620" s="8"/>
      <c r="D620" s="8"/>
      <c r="E620" s="13"/>
    </row>
    <row r="621" spans="1:5" x14ac:dyDescent="0.25">
      <c r="A621" s="12"/>
      <c r="B621" s="8"/>
      <c r="C621" s="8"/>
      <c r="D621" s="8"/>
      <c r="E621" s="13"/>
    </row>
    <row r="622" spans="1:5" x14ac:dyDescent="0.25">
      <c r="A622" s="12"/>
      <c r="B622" s="8"/>
      <c r="C622" s="8"/>
      <c r="D622" s="8"/>
      <c r="E622" s="13"/>
    </row>
    <row r="623" spans="1:5" x14ac:dyDescent="0.25">
      <c r="A623" s="12"/>
      <c r="B623" s="8"/>
      <c r="C623" s="8"/>
      <c r="D623" s="8"/>
      <c r="E623" s="13"/>
    </row>
    <row r="624" spans="1:5" x14ac:dyDescent="0.25">
      <c r="A624" s="12"/>
      <c r="B624" s="8"/>
      <c r="C624" s="8"/>
      <c r="D624" s="8"/>
      <c r="E624" s="13"/>
    </row>
    <row r="625" spans="1:5" x14ac:dyDescent="0.25">
      <c r="A625" s="12"/>
      <c r="B625" s="8"/>
      <c r="C625" s="8"/>
      <c r="D625" s="8"/>
      <c r="E625" s="13"/>
    </row>
    <row r="626" spans="1:5" x14ac:dyDescent="0.25">
      <c r="A626" s="12"/>
      <c r="B626" s="8"/>
      <c r="C626" s="8"/>
      <c r="D626" s="8"/>
      <c r="E626" s="13"/>
    </row>
    <row r="627" spans="1:5" x14ac:dyDescent="0.25">
      <c r="A627" s="12"/>
      <c r="B627" s="8"/>
      <c r="C627" s="8"/>
      <c r="D627" s="8"/>
      <c r="E627" s="13"/>
    </row>
    <row r="628" spans="1:5" x14ac:dyDescent="0.25">
      <c r="A628" s="12"/>
      <c r="B628" s="8"/>
      <c r="C628" s="8"/>
      <c r="D628" s="8"/>
      <c r="E628" s="13"/>
    </row>
    <row r="629" spans="1:5" x14ac:dyDescent="0.25">
      <c r="A629" s="12"/>
      <c r="B629" s="8"/>
      <c r="C629" s="8"/>
      <c r="D629" s="8"/>
      <c r="E629" s="13"/>
    </row>
    <row r="630" spans="1:5" x14ac:dyDescent="0.25">
      <c r="A630" s="12"/>
      <c r="B630" s="8"/>
      <c r="C630" s="8"/>
      <c r="D630" s="8"/>
      <c r="E630" s="13"/>
    </row>
    <row r="631" spans="1:5" x14ac:dyDescent="0.25">
      <c r="A631" s="12"/>
      <c r="B631" s="8"/>
      <c r="C631" s="8"/>
      <c r="D631" s="8"/>
      <c r="E631" s="13"/>
    </row>
    <row r="632" spans="1:5" x14ac:dyDescent="0.25">
      <c r="A632" s="12"/>
      <c r="B632" s="8"/>
      <c r="C632" s="8"/>
      <c r="D632" s="8"/>
      <c r="E632" s="13"/>
    </row>
    <row r="633" spans="1:5" x14ac:dyDescent="0.25">
      <c r="A633" s="12"/>
      <c r="B633" s="8"/>
      <c r="C633" s="8"/>
      <c r="D633" s="8"/>
      <c r="E633" s="13"/>
    </row>
    <row r="634" spans="1:5" x14ac:dyDescent="0.25">
      <c r="A634" s="12"/>
      <c r="B634" s="8"/>
      <c r="C634" s="8"/>
      <c r="D634" s="8"/>
      <c r="E634" s="13"/>
    </row>
    <row r="635" spans="1:5" x14ac:dyDescent="0.25">
      <c r="A635" s="12"/>
      <c r="B635" s="8"/>
      <c r="C635" s="8"/>
      <c r="D635" s="8"/>
      <c r="E635" s="13"/>
    </row>
    <row r="636" spans="1:5" x14ac:dyDescent="0.25">
      <c r="A636" s="12"/>
      <c r="B636" s="8"/>
      <c r="C636" s="8"/>
      <c r="D636" s="8"/>
      <c r="E636" s="13"/>
    </row>
    <row r="637" spans="1:5" x14ac:dyDescent="0.25">
      <c r="A637" s="12"/>
      <c r="B637" s="8"/>
      <c r="C637" s="8"/>
      <c r="D637" s="8"/>
      <c r="E637" s="13"/>
    </row>
    <row r="638" spans="1:5" x14ac:dyDescent="0.25">
      <c r="A638" s="12"/>
      <c r="B638" s="8"/>
      <c r="C638" s="8"/>
      <c r="D638" s="8"/>
      <c r="E638" s="13"/>
    </row>
    <row r="639" spans="1:5" x14ac:dyDescent="0.25">
      <c r="A639" s="12"/>
      <c r="B639" s="8"/>
      <c r="C639" s="8"/>
      <c r="D639" s="8"/>
      <c r="E639" s="13"/>
    </row>
    <row r="640" spans="1:5" x14ac:dyDescent="0.25">
      <c r="A640" s="12"/>
      <c r="B640" s="8"/>
      <c r="C640" s="8"/>
      <c r="D640" s="8"/>
      <c r="E640" s="13"/>
    </row>
    <row r="641" spans="1:5" x14ac:dyDescent="0.25">
      <c r="A641" s="12"/>
      <c r="B641" s="8"/>
      <c r="C641" s="8"/>
      <c r="D641" s="8"/>
      <c r="E641" s="13"/>
    </row>
    <row r="642" spans="1:5" x14ac:dyDescent="0.25">
      <c r="A642" s="12"/>
      <c r="B642" s="8"/>
      <c r="C642" s="8"/>
      <c r="D642" s="8"/>
      <c r="E642" s="13"/>
    </row>
    <row r="643" spans="1:5" x14ac:dyDescent="0.25">
      <c r="A643" s="12"/>
      <c r="B643" s="8"/>
      <c r="C643" s="8"/>
      <c r="D643" s="8"/>
      <c r="E643" s="13"/>
    </row>
    <row r="644" spans="1:5" x14ac:dyDescent="0.25">
      <c r="A644" s="12"/>
      <c r="B644" s="8"/>
      <c r="C644" s="8"/>
      <c r="D644" s="8"/>
      <c r="E644" s="13"/>
    </row>
    <row r="645" spans="1:5" x14ac:dyDescent="0.25">
      <c r="A645" s="12"/>
      <c r="B645" s="8"/>
      <c r="C645" s="8"/>
      <c r="D645" s="8"/>
      <c r="E645" s="13"/>
    </row>
    <row r="646" spans="1:5" x14ac:dyDescent="0.25">
      <c r="A646" s="12"/>
      <c r="B646" s="8"/>
      <c r="C646" s="8"/>
      <c r="D646" s="8"/>
      <c r="E646" s="13"/>
    </row>
    <row r="647" spans="1:5" x14ac:dyDescent="0.25">
      <c r="A647" s="12"/>
      <c r="B647" s="8"/>
      <c r="C647" s="8"/>
      <c r="D647" s="8"/>
      <c r="E647" s="13"/>
    </row>
    <row r="648" spans="1:5" x14ac:dyDescent="0.25">
      <c r="A648" s="12"/>
      <c r="B648" s="8"/>
      <c r="C648" s="8"/>
      <c r="D648" s="8"/>
      <c r="E648" s="13"/>
    </row>
    <row r="649" spans="1:5" x14ac:dyDescent="0.25">
      <c r="A649" s="12"/>
      <c r="B649" s="8"/>
      <c r="C649" s="8"/>
      <c r="D649" s="8"/>
      <c r="E649" s="13"/>
    </row>
    <row r="650" spans="1:5" x14ac:dyDescent="0.25">
      <c r="A650" s="12"/>
      <c r="B650" s="8"/>
      <c r="C650" s="8"/>
      <c r="D650" s="8"/>
      <c r="E650" s="13"/>
    </row>
    <row r="651" spans="1:5" x14ac:dyDescent="0.25">
      <c r="A651" s="12"/>
      <c r="B651" s="8"/>
      <c r="C651" s="8"/>
      <c r="D651" s="8"/>
      <c r="E651" s="13"/>
    </row>
    <row r="652" spans="1:5" x14ac:dyDescent="0.25">
      <c r="A652" s="12"/>
      <c r="B652" s="8"/>
      <c r="C652" s="8"/>
      <c r="D652" s="8"/>
      <c r="E652" s="13"/>
    </row>
    <row r="653" spans="1:5" x14ac:dyDescent="0.25">
      <c r="A653" s="12"/>
      <c r="B653" s="8"/>
      <c r="C653" s="8"/>
      <c r="D653" s="8"/>
      <c r="E653" s="13"/>
    </row>
    <row r="654" spans="1:5" x14ac:dyDescent="0.25">
      <c r="A654" s="12"/>
      <c r="B654" s="8"/>
      <c r="C654" s="8"/>
      <c r="D654" s="8"/>
      <c r="E654" s="13"/>
    </row>
    <row r="655" spans="1:5" x14ac:dyDescent="0.25">
      <c r="A655" s="12"/>
      <c r="B655" s="8"/>
      <c r="C655" s="8"/>
      <c r="D655" s="8"/>
      <c r="E655" s="13"/>
    </row>
    <row r="656" spans="1:5" x14ac:dyDescent="0.25">
      <c r="A656" s="12"/>
      <c r="B656" s="8"/>
      <c r="C656" s="8"/>
      <c r="D656" s="8"/>
      <c r="E656" s="13"/>
    </row>
    <row r="657" spans="1:5" x14ac:dyDescent="0.25">
      <c r="A657" s="12"/>
      <c r="B657" s="8"/>
      <c r="C657" s="8"/>
      <c r="D657" s="8"/>
      <c r="E657" s="13"/>
    </row>
    <row r="658" spans="1:5" x14ac:dyDescent="0.25">
      <c r="A658" s="12"/>
      <c r="B658" s="8"/>
      <c r="C658" s="8"/>
      <c r="D658" s="8"/>
      <c r="E658" s="13"/>
    </row>
    <row r="659" spans="1:5" x14ac:dyDescent="0.25">
      <c r="A659" s="12"/>
      <c r="B659" s="8"/>
      <c r="C659" s="8"/>
      <c r="D659" s="8"/>
      <c r="E659" s="13"/>
    </row>
    <row r="660" spans="1:5" x14ac:dyDescent="0.25">
      <c r="A660" s="12"/>
      <c r="B660" s="8"/>
      <c r="C660" s="8"/>
      <c r="D660" s="8"/>
      <c r="E660" s="13"/>
    </row>
    <row r="661" spans="1:5" x14ac:dyDescent="0.25">
      <c r="A661" s="12"/>
      <c r="B661" s="8"/>
      <c r="C661" s="8"/>
      <c r="D661" s="8"/>
      <c r="E661" s="13"/>
    </row>
    <row r="662" spans="1:5" x14ac:dyDescent="0.25">
      <c r="A662" s="12"/>
      <c r="B662" s="8"/>
      <c r="C662" s="8"/>
      <c r="D662" s="8"/>
      <c r="E662" s="13"/>
    </row>
    <row r="663" spans="1:5" x14ac:dyDescent="0.25">
      <c r="A663" s="12"/>
      <c r="B663" s="8"/>
      <c r="C663" s="8"/>
      <c r="D663" s="8"/>
      <c r="E663" s="13"/>
    </row>
    <row r="664" spans="1:5" x14ac:dyDescent="0.25">
      <c r="A664" s="12"/>
      <c r="B664" s="8"/>
      <c r="C664" s="8"/>
      <c r="D664" s="8"/>
      <c r="E664" s="13"/>
    </row>
    <row r="665" spans="1:5" x14ac:dyDescent="0.25">
      <c r="A665" s="12"/>
      <c r="B665" s="8"/>
      <c r="C665" s="8"/>
      <c r="D665" s="8"/>
      <c r="E665" s="13"/>
    </row>
    <row r="666" spans="1:5" x14ac:dyDescent="0.25">
      <c r="A666" s="12"/>
      <c r="B666" s="8"/>
      <c r="C666" s="8"/>
      <c r="D666" s="8"/>
      <c r="E666" s="13"/>
    </row>
    <row r="667" spans="1:5" x14ac:dyDescent="0.25">
      <c r="A667" s="12"/>
      <c r="B667" s="8"/>
      <c r="C667" s="8"/>
      <c r="D667" s="8"/>
      <c r="E667" s="13"/>
    </row>
    <row r="668" spans="1:5" x14ac:dyDescent="0.25">
      <c r="A668" s="12"/>
      <c r="B668" s="8"/>
      <c r="C668" s="8"/>
      <c r="D668" s="8"/>
      <c r="E668" s="13"/>
    </row>
    <row r="669" spans="1:5" x14ac:dyDescent="0.25">
      <c r="A669" s="12"/>
      <c r="B669" s="8"/>
      <c r="C669" s="8"/>
      <c r="D669" s="8"/>
      <c r="E669" s="13"/>
    </row>
    <row r="670" spans="1:5" x14ac:dyDescent="0.25">
      <c r="A670" s="12"/>
      <c r="B670" s="8"/>
      <c r="C670" s="8"/>
      <c r="D670" s="8"/>
      <c r="E670" s="13"/>
    </row>
    <row r="671" spans="1:5" x14ac:dyDescent="0.25">
      <c r="A671" s="12"/>
      <c r="B671" s="8"/>
      <c r="C671" s="8"/>
      <c r="D671" s="8"/>
      <c r="E671" s="13"/>
    </row>
    <row r="672" spans="1:5" x14ac:dyDescent="0.25">
      <c r="A672" s="12"/>
      <c r="B672" s="8"/>
      <c r="C672" s="8"/>
      <c r="D672" s="8"/>
      <c r="E672" s="13"/>
    </row>
    <row r="673" spans="1:5" x14ac:dyDescent="0.25">
      <c r="A673" s="12"/>
      <c r="B673" s="8"/>
      <c r="C673" s="8"/>
      <c r="D673" s="8"/>
      <c r="E673" s="13"/>
    </row>
    <row r="674" spans="1:5" x14ac:dyDescent="0.25">
      <c r="A674" s="12"/>
      <c r="B674" s="8"/>
      <c r="C674" s="8"/>
      <c r="D674" s="8"/>
      <c r="E674" s="13"/>
    </row>
    <row r="675" spans="1:5" x14ac:dyDescent="0.25">
      <c r="A675" s="12"/>
      <c r="B675" s="8"/>
      <c r="C675" s="8"/>
      <c r="D675" s="8"/>
      <c r="E675" s="13"/>
    </row>
    <row r="676" spans="1:5" x14ac:dyDescent="0.25">
      <c r="A676" s="12"/>
      <c r="B676" s="8"/>
      <c r="C676" s="8"/>
      <c r="D676" s="8"/>
      <c r="E676" s="13"/>
    </row>
    <row r="677" spans="1:5" x14ac:dyDescent="0.25">
      <c r="A677" s="12"/>
      <c r="B677" s="8"/>
      <c r="C677" s="8"/>
      <c r="D677" s="8"/>
      <c r="E677" s="13"/>
    </row>
    <row r="678" spans="1:5" x14ac:dyDescent="0.25">
      <c r="A678" s="12"/>
      <c r="B678" s="8"/>
      <c r="C678" s="8"/>
      <c r="D678" s="8"/>
      <c r="E678" s="13"/>
    </row>
    <row r="679" spans="1:5" x14ac:dyDescent="0.25">
      <c r="A679" s="12"/>
      <c r="B679" s="8"/>
      <c r="C679" s="8"/>
      <c r="D679" s="8"/>
      <c r="E679" s="13"/>
    </row>
    <row r="680" spans="1:5" x14ac:dyDescent="0.25">
      <c r="A680" s="12"/>
      <c r="B680" s="8"/>
      <c r="C680" s="8"/>
      <c r="D680" s="8"/>
      <c r="E680" s="13"/>
    </row>
    <row r="681" spans="1:5" x14ac:dyDescent="0.25">
      <c r="A681" s="12"/>
      <c r="B681" s="8"/>
      <c r="C681" s="8"/>
      <c r="D681" s="8"/>
      <c r="E681" s="13"/>
    </row>
    <row r="682" spans="1:5" x14ac:dyDescent="0.25">
      <c r="A682" s="12"/>
      <c r="B682" s="8"/>
      <c r="C682" s="8"/>
      <c r="D682" s="8"/>
      <c r="E682" s="13"/>
    </row>
    <row r="683" spans="1:5" x14ac:dyDescent="0.25">
      <c r="A683" s="12"/>
      <c r="B683" s="8"/>
      <c r="C683" s="8"/>
      <c r="D683" s="8"/>
      <c r="E683" s="13"/>
    </row>
    <row r="684" spans="1:5" x14ac:dyDescent="0.25">
      <c r="A684" s="12"/>
      <c r="B684" s="8"/>
      <c r="C684" s="8"/>
      <c r="D684" s="8"/>
      <c r="E684" s="13"/>
    </row>
    <row r="685" spans="1:5" x14ac:dyDescent="0.25">
      <c r="A685" s="12"/>
      <c r="B685" s="8"/>
      <c r="C685" s="8"/>
      <c r="D685" s="8"/>
      <c r="E685" s="13"/>
    </row>
    <row r="686" spans="1:5" x14ac:dyDescent="0.25">
      <c r="A686" s="12"/>
      <c r="B686" s="8"/>
      <c r="C686" s="8"/>
      <c r="D686" s="8"/>
      <c r="E686" s="13"/>
    </row>
    <row r="687" spans="1:5" x14ac:dyDescent="0.25">
      <c r="A687" s="12"/>
      <c r="B687" s="8"/>
      <c r="C687" s="8"/>
      <c r="D687" s="8"/>
      <c r="E687" s="13"/>
    </row>
    <row r="688" spans="1:5" x14ac:dyDescent="0.25">
      <c r="A688" s="12"/>
      <c r="B688" s="8"/>
      <c r="C688" s="8"/>
      <c r="D688" s="8"/>
      <c r="E688" s="13"/>
    </row>
    <row r="689" spans="1:5" x14ac:dyDescent="0.25">
      <c r="A689" s="12"/>
      <c r="B689" s="8"/>
      <c r="C689" s="8"/>
      <c r="D689" s="8"/>
      <c r="E689" s="13"/>
    </row>
    <row r="690" spans="1:5" x14ac:dyDescent="0.25">
      <c r="A690" s="12"/>
      <c r="B690" s="8"/>
      <c r="C690" s="8"/>
      <c r="D690" s="8"/>
      <c r="E690" s="13"/>
    </row>
    <row r="691" spans="1:5" x14ac:dyDescent="0.25">
      <c r="A691" s="12"/>
      <c r="B691" s="8"/>
      <c r="C691" s="8"/>
      <c r="D691" s="8"/>
      <c r="E691" s="13"/>
    </row>
    <row r="692" spans="1:5" x14ac:dyDescent="0.25">
      <c r="A692" s="12"/>
      <c r="B692" s="8"/>
      <c r="C692" s="8"/>
      <c r="D692" s="8"/>
      <c r="E692" s="13"/>
    </row>
    <row r="693" spans="1:5" x14ac:dyDescent="0.25">
      <c r="A693" s="12"/>
      <c r="B693" s="8"/>
      <c r="C693" s="8"/>
      <c r="D693" s="8"/>
      <c r="E693" s="13"/>
    </row>
    <row r="694" spans="1:5" x14ac:dyDescent="0.25">
      <c r="A694" s="12"/>
      <c r="B694" s="8"/>
      <c r="C694" s="8"/>
      <c r="D694" s="8"/>
      <c r="E694" s="13"/>
    </row>
    <row r="695" spans="1:5" x14ac:dyDescent="0.25">
      <c r="A695" s="12"/>
      <c r="B695" s="8"/>
      <c r="C695" s="8"/>
      <c r="D695" s="8"/>
      <c r="E695" s="13"/>
    </row>
    <row r="696" spans="1:5" x14ac:dyDescent="0.25">
      <c r="A696" s="12"/>
      <c r="B696" s="8"/>
      <c r="C696" s="8"/>
      <c r="D696" s="8"/>
      <c r="E696" s="13"/>
    </row>
    <row r="697" spans="1:5" x14ac:dyDescent="0.25">
      <c r="A697" s="12"/>
      <c r="B697" s="8"/>
      <c r="C697" s="8"/>
      <c r="D697" s="8"/>
      <c r="E697" s="13"/>
    </row>
    <row r="698" spans="1:5" x14ac:dyDescent="0.25">
      <c r="A698" s="12"/>
      <c r="B698" s="8"/>
      <c r="C698" s="8"/>
      <c r="D698" s="8"/>
      <c r="E698" s="13"/>
    </row>
    <row r="699" spans="1:5" x14ac:dyDescent="0.25">
      <c r="A699" s="12"/>
      <c r="B699" s="8"/>
      <c r="C699" s="8"/>
      <c r="D699" s="8"/>
      <c r="E699" s="13"/>
    </row>
    <row r="700" spans="1:5" x14ac:dyDescent="0.25">
      <c r="A700" s="12"/>
      <c r="B700" s="8"/>
      <c r="C700" s="8"/>
      <c r="D700" s="8"/>
      <c r="E700" s="13"/>
    </row>
    <row r="701" spans="1:5" x14ac:dyDescent="0.25">
      <c r="A701" s="12"/>
      <c r="B701" s="8"/>
      <c r="C701" s="8"/>
      <c r="D701" s="8"/>
      <c r="E701" s="13"/>
    </row>
    <row r="702" spans="1:5" x14ac:dyDescent="0.25">
      <c r="A702" s="12"/>
      <c r="B702" s="8"/>
      <c r="C702" s="8"/>
      <c r="D702" s="8"/>
      <c r="E702" s="13"/>
    </row>
    <row r="703" spans="1:5" x14ac:dyDescent="0.25">
      <c r="A703" s="12"/>
      <c r="B703" s="8"/>
      <c r="C703" s="8"/>
      <c r="D703" s="8"/>
      <c r="E703" s="13"/>
    </row>
    <row r="704" spans="1:5" x14ac:dyDescent="0.25">
      <c r="A704" s="12"/>
      <c r="B704" s="8"/>
      <c r="C704" s="8"/>
      <c r="D704" s="8"/>
      <c r="E704" s="13"/>
    </row>
    <row r="705" spans="1:5" x14ac:dyDescent="0.25">
      <c r="A705" s="12"/>
      <c r="B705" s="8"/>
      <c r="C705" s="8"/>
      <c r="D705" s="8"/>
      <c r="E705" s="13"/>
    </row>
    <row r="706" spans="1:5" x14ac:dyDescent="0.25">
      <c r="A706" s="12"/>
      <c r="B706" s="8"/>
      <c r="C706" s="8"/>
      <c r="D706" s="8"/>
      <c r="E706" s="13"/>
    </row>
    <row r="707" spans="1:5" x14ac:dyDescent="0.25">
      <c r="A707" s="12"/>
      <c r="B707" s="8"/>
      <c r="C707" s="8"/>
      <c r="D707" s="8"/>
      <c r="E707" s="13"/>
    </row>
    <row r="708" spans="1:5" x14ac:dyDescent="0.25">
      <c r="A708" s="12"/>
      <c r="B708" s="8"/>
      <c r="C708" s="8"/>
      <c r="D708" s="8"/>
      <c r="E708" s="13"/>
    </row>
    <row r="709" spans="1:5" x14ac:dyDescent="0.25">
      <c r="A709" s="12"/>
      <c r="B709" s="8"/>
      <c r="C709" s="8"/>
      <c r="D709" s="8"/>
      <c r="E709" s="13"/>
    </row>
    <row r="710" spans="1:5" x14ac:dyDescent="0.25">
      <c r="A710" s="12"/>
      <c r="B710" s="8"/>
      <c r="C710" s="8"/>
      <c r="D710" s="8"/>
      <c r="E710" s="13"/>
    </row>
    <row r="711" spans="1:5" x14ac:dyDescent="0.25">
      <c r="A711" s="12"/>
      <c r="B711" s="8"/>
      <c r="C711" s="8"/>
      <c r="D711" s="8"/>
      <c r="E711" s="13"/>
    </row>
    <row r="712" spans="1:5" x14ac:dyDescent="0.25">
      <c r="A712" s="12"/>
      <c r="B712" s="8"/>
      <c r="C712" s="8"/>
      <c r="D712" s="8"/>
      <c r="E712" s="13"/>
    </row>
    <row r="713" spans="1:5" x14ac:dyDescent="0.25">
      <c r="A713" s="12"/>
      <c r="B713" s="8"/>
      <c r="C713" s="8"/>
      <c r="D713" s="8"/>
      <c r="E713" s="13"/>
    </row>
    <row r="714" spans="1:5" x14ac:dyDescent="0.25">
      <c r="A714" s="12"/>
      <c r="B714" s="8"/>
      <c r="C714" s="8"/>
      <c r="D714" s="8"/>
      <c r="E714" s="13"/>
    </row>
    <row r="715" spans="1:5" x14ac:dyDescent="0.25">
      <c r="A715" s="12"/>
      <c r="B715" s="8"/>
      <c r="C715" s="8"/>
      <c r="D715" s="8"/>
      <c r="E715" s="13"/>
    </row>
    <row r="716" spans="1:5" x14ac:dyDescent="0.25">
      <c r="A716" s="12"/>
      <c r="B716" s="8"/>
      <c r="C716" s="8"/>
      <c r="D716" s="8"/>
      <c r="E716" s="13"/>
    </row>
    <row r="717" spans="1:5" x14ac:dyDescent="0.25">
      <c r="A717" s="12"/>
      <c r="B717" s="8"/>
      <c r="C717" s="8"/>
      <c r="D717" s="8"/>
      <c r="E717" s="13"/>
    </row>
    <row r="718" spans="1:5" x14ac:dyDescent="0.25">
      <c r="A718" s="12"/>
      <c r="B718" s="8"/>
      <c r="C718" s="8"/>
      <c r="D718" s="8"/>
      <c r="E718" s="13"/>
    </row>
    <row r="719" spans="1:5" x14ac:dyDescent="0.25">
      <c r="A719" s="12"/>
      <c r="B719" s="8"/>
      <c r="C719" s="8"/>
      <c r="D719" s="8"/>
      <c r="E719" s="13"/>
    </row>
    <row r="720" spans="1:5" x14ac:dyDescent="0.25">
      <c r="A720" s="12"/>
      <c r="B720" s="8"/>
      <c r="C720" s="8"/>
      <c r="D720" s="8"/>
      <c r="E720" s="13"/>
    </row>
    <row r="721" spans="1:5" x14ac:dyDescent="0.25">
      <c r="A721" s="12"/>
      <c r="B721" s="8"/>
      <c r="C721" s="8"/>
      <c r="D721" s="8"/>
      <c r="E721" s="13"/>
    </row>
    <row r="722" spans="1:5" x14ac:dyDescent="0.25">
      <c r="A722" s="12"/>
      <c r="B722" s="8"/>
      <c r="C722" s="8"/>
      <c r="D722" s="8"/>
      <c r="E722" s="13"/>
    </row>
    <row r="723" spans="1:5" x14ac:dyDescent="0.25">
      <c r="A723" s="12"/>
      <c r="B723" s="8"/>
      <c r="C723" s="8"/>
      <c r="D723" s="8"/>
      <c r="E723" s="13"/>
    </row>
    <row r="724" spans="1:5" x14ac:dyDescent="0.25">
      <c r="A724" s="12"/>
      <c r="B724" s="8"/>
      <c r="C724" s="8"/>
      <c r="D724" s="8"/>
      <c r="E724" s="13"/>
    </row>
    <row r="725" spans="1:5" x14ac:dyDescent="0.25">
      <c r="A725" s="12"/>
      <c r="B725" s="8"/>
      <c r="C725" s="8"/>
      <c r="D725" s="8"/>
      <c r="E725" s="13"/>
    </row>
    <row r="726" spans="1:5" x14ac:dyDescent="0.25">
      <c r="A726" s="12"/>
      <c r="B726" s="8"/>
      <c r="C726" s="8"/>
      <c r="D726" s="8"/>
      <c r="E726" s="13"/>
    </row>
    <row r="727" spans="1:5" x14ac:dyDescent="0.25">
      <c r="A727" s="12"/>
      <c r="B727" s="8"/>
      <c r="C727" s="8"/>
      <c r="D727" s="8"/>
      <c r="E727" s="13"/>
    </row>
    <row r="728" spans="1:5" x14ac:dyDescent="0.25">
      <c r="A728" s="12"/>
      <c r="B728" s="8"/>
      <c r="C728" s="8"/>
      <c r="D728" s="8"/>
      <c r="E728" s="13"/>
    </row>
    <row r="729" spans="1:5" x14ac:dyDescent="0.25">
      <c r="A729" s="12"/>
      <c r="B729" s="8"/>
      <c r="C729" s="8"/>
      <c r="D729" s="8"/>
      <c r="E729" s="13"/>
    </row>
    <row r="730" spans="1:5" x14ac:dyDescent="0.25">
      <c r="A730" s="12"/>
      <c r="B730" s="8"/>
      <c r="C730" s="8"/>
      <c r="D730" s="8"/>
      <c r="E730" s="13"/>
    </row>
    <row r="731" spans="1:5" x14ac:dyDescent="0.25">
      <c r="A731" s="12"/>
      <c r="B731" s="8"/>
      <c r="C731" s="8"/>
      <c r="D731" s="8"/>
      <c r="E731" s="13"/>
    </row>
    <row r="732" spans="1:5" x14ac:dyDescent="0.25">
      <c r="A732" s="12"/>
      <c r="B732" s="8"/>
      <c r="C732" s="8"/>
      <c r="D732" s="8"/>
      <c r="E732" s="13"/>
    </row>
    <row r="733" spans="1:5" x14ac:dyDescent="0.25">
      <c r="A733" s="12"/>
      <c r="B733" s="8"/>
      <c r="C733" s="8"/>
      <c r="D733" s="8"/>
      <c r="E733" s="13"/>
    </row>
    <row r="734" spans="1:5" x14ac:dyDescent="0.25">
      <c r="A734" s="12"/>
      <c r="B734" s="8"/>
      <c r="C734" s="8"/>
      <c r="D734" s="8"/>
      <c r="E734" s="13"/>
    </row>
    <row r="735" spans="1:5" x14ac:dyDescent="0.25">
      <c r="A735" s="12"/>
      <c r="B735" s="8"/>
      <c r="C735" s="8"/>
      <c r="D735" s="8"/>
      <c r="E735" s="13"/>
    </row>
    <row r="736" spans="1:5" x14ac:dyDescent="0.25">
      <c r="A736" s="12"/>
      <c r="B736" s="8"/>
      <c r="C736" s="8"/>
      <c r="D736" s="8"/>
      <c r="E736" s="13"/>
    </row>
    <row r="737" spans="1:5" x14ac:dyDescent="0.25">
      <c r="A737" s="12"/>
      <c r="B737" s="8"/>
      <c r="C737" s="8"/>
      <c r="D737" s="8"/>
      <c r="E737" s="13"/>
    </row>
    <row r="738" spans="1:5" x14ac:dyDescent="0.25">
      <c r="A738" s="12"/>
      <c r="B738" s="8"/>
      <c r="C738" s="8"/>
      <c r="D738" s="8"/>
      <c r="E738" s="13"/>
    </row>
    <row r="739" spans="1:5" x14ac:dyDescent="0.25">
      <c r="A739" s="12"/>
      <c r="B739" s="8"/>
      <c r="C739" s="8"/>
      <c r="D739" s="8"/>
      <c r="E739" s="13"/>
    </row>
    <row r="740" spans="1:5" x14ac:dyDescent="0.25">
      <c r="A740" s="12"/>
      <c r="B740" s="8"/>
      <c r="C740" s="8"/>
      <c r="D740" s="8"/>
      <c r="E740" s="13"/>
    </row>
    <row r="741" spans="1:5" x14ac:dyDescent="0.25">
      <c r="A741" s="12"/>
      <c r="B741" s="8"/>
      <c r="C741" s="8"/>
      <c r="D741" s="8"/>
      <c r="E741" s="13"/>
    </row>
    <row r="742" spans="1:5" x14ac:dyDescent="0.25">
      <c r="A742" s="12"/>
      <c r="B742" s="8"/>
      <c r="C742" s="8"/>
      <c r="D742" s="8"/>
      <c r="E742" s="13"/>
    </row>
    <row r="743" spans="1:5" x14ac:dyDescent="0.25">
      <c r="A743" s="12"/>
      <c r="B743" s="8"/>
      <c r="C743" s="8"/>
      <c r="D743" s="8"/>
      <c r="E743" s="13"/>
    </row>
    <row r="744" spans="1:5" x14ac:dyDescent="0.25">
      <c r="A744" s="12"/>
      <c r="B744" s="8"/>
      <c r="C744" s="8"/>
      <c r="D744" s="8"/>
      <c r="E744" s="13"/>
    </row>
    <row r="745" spans="1:5" x14ac:dyDescent="0.25">
      <c r="A745" s="12"/>
      <c r="B745" s="8"/>
      <c r="C745" s="8"/>
      <c r="D745" s="8"/>
      <c r="E745" s="13"/>
    </row>
    <row r="746" spans="1:5" x14ac:dyDescent="0.25">
      <c r="A746" s="12"/>
      <c r="B746" s="8"/>
      <c r="C746" s="8"/>
      <c r="D746" s="8"/>
      <c r="E746" s="13"/>
    </row>
    <row r="747" spans="1:5" x14ac:dyDescent="0.25">
      <c r="A747" s="12"/>
      <c r="B747" s="8"/>
      <c r="C747" s="8"/>
      <c r="D747" s="8"/>
      <c r="E747" s="13"/>
    </row>
    <row r="748" spans="1:5" x14ac:dyDescent="0.25">
      <c r="A748" s="12"/>
      <c r="B748" s="8"/>
      <c r="C748" s="8"/>
      <c r="D748" s="8"/>
      <c r="E748" s="13"/>
    </row>
    <row r="749" spans="1:5" x14ac:dyDescent="0.25">
      <c r="A749" s="12"/>
      <c r="B749" s="8"/>
      <c r="C749" s="8"/>
      <c r="D749" s="8"/>
      <c r="E749" s="13"/>
    </row>
    <row r="750" spans="1:5" x14ac:dyDescent="0.25">
      <c r="A750" s="12"/>
      <c r="B750" s="8"/>
      <c r="C750" s="8"/>
      <c r="D750" s="8"/>
      <c r="E750" s="13"/>
    </row>
    <row r="751" spans="1:5" x14ac:dyDescent="0.25">
      <c r="A751" s="12"/>
      <c r="B751" s="8"/>
      <c r="C751" s="8"/>
      <c r="D751" s="8"/>
      <c r="E751" s="13"/>
    </row>
    <row r="752" spans="1:5" x14ac:dyDescent="0.25">
      <c r="A752" s="12"/>
      <c r="B752" s="8"/>
      <c r="C752" s="8"/>
      <c r="D752" s="8"/>
      <c r="E752" s="13"/>
    </row>
    <row r="753" spans="1:5" x14ac:dyDescent="0.25">
      <c r="A753" s="12"/>
      <c r="B753" s="8"/>
      <c r="C753" s="8"/>
      <c r="D753" s="8"/>
      <c r="E753" s="13"/>
    </row>
    <row r="754" spans="1:5" x14ac:dyDescent="0.25">
      <c r="A754" s="12"/>
      <c r="B754" s="8"/>
      <c r="C754" s="8"/>
      <c r="D754" s="8"/>
      <c r="E754" s="13"/>
    </row>
    <row r="755" spans="1:5" x14ac:dyDescent="0.25">
      <c r="A755" s="12"/>
      <c r="B755" s="8"/>
      <c r="C755" s="8"/>
      <c r="D755" s="8"/>
      <c r="E755" s="13"/>
    </row>
    <row r="756" spans="1:5" x14ac:dyDescent="0.25">
      <c r="A756" s="12"/>
      <c r="B756" s="8"/>
      <c r="C756" s="8"/>
      <c r="D756" s="8"/>
      <c r="E756" s="13"/>
    </row>
    <row r="757" spans="1:5" x14ac:dyDescent="0.25">
      <c r="A757" s="12"/>
      <c r="B757" s="8"/>
      <c r="C757" s="8"/>
      <c r="D757" s="8"/>
      <c r="E757" s="13"/>
    </row>
    <row r="758" spans="1:5" x14ac:dyDescent="0.25">
      <c r="A758" s="12"/>
      <c r="B758" s="8"/>
      <c r="C758" s="8"/>
      <c r="D758" s="8"/>
      <c r="E758" s="13"/>
    </row>
    <row r="759" spans="1:5" x14ac:dyDescent="0.25">
      <c r="A759" s="12"/>
      <c r="B759" s="8"/>
      <c r="C759" s="8"/>
      <c r="D759" s="8"/>
      <c r="E759" s="13"/>
    </row>
    <row r="760" spans="1:5" x14ac:dyDescent="0.25">
      <c r="A760" s="12"/>
      <c r="B760" s="8"/>
      <c r="C760" s="8"/>
      <c r="D760" s="8"/>
      <c r="E760" s="13"/>
    </row>
    <row r="761" spans="1:5" x14ac:dyDescent="0.25">
      <c r="A761" s="12"/>
      <c r="B761" s="8"/>
      <c r="C761" s="8"/>
      <c r="D761" s="8"/>
      <c r="E761" s="13"/>
    </row>
    <row r="762" spans="1:5" x14ac:dyDescent="0.25">
      <c r="A762" s="12"/>
      <c r="B762" s="8"/>
      <c r="C762" s="8"/>
      <c r="D762" s="8"/>
      <c r="E762" s="13"/>
    </row>
    <row r="763" spans="1:5" x14ac:dyDescent="0.25">
      <c r="A763" s="12"/>
      <c r="B763" s="8"/>
      <c r="C763" s="8"/>
      <c r="D763" s="8"/>
      <c r="E763" s="13"/>
    </row>
    <row r="764" spans="1:5" x14ac:dyDescent="0.25">
      <c r="A764" s="12"/>
      <c r="B764" s="8"/>
      <c r="C764" s="8"/>
      <c r="D764" s="8"/>
      <c r="E764" s="13"/>
    </row>
    <row r="765" spans="1:5" x14ac:dyDescent="0.25">
      <c r="A765" s="12"/>
      <c r="B765" s="8"/>
      <c r="C765" s="8"/>
      <c r="D765" s="8"/>
      <c r="E765" s="13"/>
    </row>
    <row r="766" spans="1:5" x14ac:dyDescent="0.25">
      <c r="A766" s="12"/>
      <c r="B766" s="8"/>
      <c r="C766" s="8"/>
      <c r="D766" s="8"/>
      <c r="E766" s="13"/>
    </row>
    <row r="767" spans="1:5" x14ac:dyDescent="0.25">
      <c r="A767" s="12"/>
      <c r="B767" s="8"/>
      <c r="C767" s="8"/>
      <c r="D767" s="8"/>
      <c r="E767" s="13"/>
    </row>
    <row r="768" spans="1:5" x14ac:dyDescent="0.25">
      <c r="A768" s="12"/>
      <c r="B768" s="8"/>
      <c r="C768" s="8"/>
      <c r="D768" s="8"/>
      <c r="E768" s="13"/>
    </row>
    <row r="769" spans="1:5" x14ac:dyDescent="0.25">
      <c r="A769" s="12"/>
      <c r="B769" s="8"/>
      <c r="C769" s="8"/>
      <c r="D769" s="8"/>
      <c r="E769" s="13"/>
    </row>
    <row r="770" spans="1:5" x14ac:dyDescent="0.25">
      <c r="A770" s="12"/>
      <c r="B770" s="8"/>
      <c r="C770" s="8"/>
      <c r="D770" s="8"/>
      <c r="E770" s="13"/>
    </row>
    <row r="771" spans="1:5" x14ac:dyDescent="0.25">
      <c r="A771" s="12"/>
      <c r="B771" s="8"/>
      <c r="C771" s="8"/>
      <c r="D771" s="8"/>
      <c r="E771" s="13"/>
    </row>
    <row r="772" spans="1:5" x14ac:dyDescent="0.25">
      <c r="A772" s="12"/>
      <c r="B772" s="8"/>
      <c r="C772" s="8"/>
      <c r="D772" s="8"/>
      <c r="E772" s="13"/>
    </row>
    <row r="773" spans="1:5" x14ac:dyDescent="0.25">
      <c r="A773" s="12"/>
      <c r="B773" s="8"/>
      <c r="C773" s="8"/>
      <c r="D773" s="8"/>
      <c r="E773" s="13"/>
    </row>
    <row r="774" spans="1:5" x14ac:dyDescent="0.25">
      <c r="A774" s="12"/>
      <c r="B774" s="8"/>
      <c r="C774" s="8"/>
      <c r="D774" s="8"/>
      <c r="E774" s="13"/>
    </row>
    <row r="775" spans="1:5" x14ac:dyDescent="0.25">
      <c r="A775" s="12"/>
      <c r="B775" s="8"/>
      <c r="C775" s="8"/>
      <c r="D775" s="8"/>
      <c r="E775" s="13"/>
    </row>
    <row r="776" spans="1:5" x14ac:dyDescent="0.25">
      <c r="A776" s="12"/>
      <c r="B776" s="8"/>
      <c r="C776" s="8"/>
      <c r="D776" s="8"/>
      <c r="E776" s="13"/>
    </row>
    <row r="777" spans="1:5" x14ac:dyDescent="0.25">
      <c r="A777" s="12"/>
      <c r="B777" s="8"/>
      <c r="C777" s="8"/>
      <c r="D777" s="8"/>
      <c r="E777" s="13"/>
    </row>
    <row r="778" spans="1:5" x14ac:dyDescent="0.25">
      <c r="A778" s="12"/>
      <c r="B778" s="8"/>
      <c r="C778" s="8"/>
      <c r="D778" s="8"/>
      <c r="E778" s="13"/>
    </row>
    <row r="779" spans="1:5" x14ac:dyDescent="0.25">
      <c r="A779" s="12"/>
      <c r="B779" s="8"/>
      <c r="C779" s="8"/>
      <c r="D779" s="8"/>
      <c r="E779" s="13"/>
    </row>
    <row r="780" spans="1:5" x14ac:dyDescent="0.25">
      <c r="A780" s="12"/>
      <c r="B780" s="8"/>
      <c r="C780" s="8"/>
      <c r="D780" s="8"/>
      <c r="E780" s="13"/>
    </row>
    <row r="781" spans="1:5" x14ac:dyDescent="0.25">
      <c r="A781" s="12"/>
      <c r="B781" s="8"/>
      <c r="C781" s="8"/>
      <c r="D781" s="8"/>
      <c r="E781" s="13"/>
    </row>
    <row r="782" spans="1:5" x14ac:dyDescent="0.25">
      <c r="A782" s="12"/>
      <c r="B782" s="8"/>
      <c r="C782" s="8"/>
      <c r="D782" s="8"/>
      <c r="E782" s="13"/>
    </row>
    <row r="783" spans="1:5" x14ac:dyDescent="0.25">
      <c r="A783" s="12"/>
      <c r="B783" s="8"/>
      <c r="C783" s="8"/>
      <c r="D783" s="8"/>
      <c r="E783" s="13"/>
    </row>
    <row r="784" spans="1:5" x14ac:dyDescent="0.25">
      <c r="A784" s="12"/>
      <c r="B784" s="8"/>
      <c r="C784" s="8"/>
      <c r="D784" s="8"/>
      <c r="E784" s="13"/>
    </row>
    <row r="785" spans="1:5" x14ac:dyDescent="0.25">
      <c r="A785" s="12"/>
      <c r="B785" s="8"/>
      <c r="C785" s="8"/>
      <c r="D785" s="8"/>
      <c r="E785" s="13"/>
    </row>
    <row r="786" spans="1:5" x14ac:dyDescent="0.25">
      <c r="A786" s="12"/>
      <c r="B786" s="8"/>
      <c r="C786" s="8"/>
      <c r="D786" s="8"/>
      <c r="E786" s="13"/>
    </row>
    <row r="787" spans="1:5" x14ac:dyDescent="0.25">
      <c r="A787" s="12"/>
      <c r="B787" s="8"/>
      <c r="C787" s="8"/>
      <c r="D787" s="8"/>
      <c r="E787" s="13"/>
    </row>
    <row r="788" spans="1:5" x14ac:dyDescent="0.25">
      <c r="A788" s="12"/>
      <c r="B788" s="8"/>
      <c r="C788" s="8"/>
      <c r="D788" s="8"/>
      <c r="E788" s="13"/>
    </row>
    <row r="789" spans="1:5" x14ac:dyDescent="0.25">
      <c r="A789" s="12"/>
      <c r="B789" s="8"/>
      <c r="C789" s="8"/>
      <c r="D789" s="8"/>
      <c r="E789" s="13"/>
    </row>
    <row r="790" spans="1:5" x14ac:dyDescent="0.25">
      <c r="A790" s="12"/>
      <c r="B790" s="8"/>
      <c r="C790" s="8"/>
      <c r="D790" s="8"/>
      <c r="E790" s="13"/>
    </row>
    <row r="791" spans="1:5" x14ac:dyDescent="0.25">
      <c r="A791" s="12"/>
      <c r="B791" s="8"/>
      <c r="C791" s="8"/>
      <c r="D791" s="8"/>
      <c r="E791" s="13"/>
    </row>
    <row r="792" spans="1:5" x14ac:dyDescent="0.25">
      <c r="A792" s="12"/>
      <c r="B792" s="8"/>
      <c r="C792" s="8"/>
      <c r="D792" s="8"/>
      <c r="E792" s="13"/>
    </row>
    <row r="793" spans="1:5" x14ac:dyDescent="0.25">
      <c r="A793" s="12"/>
      <c r="B793" s="8"/>
      <c r="C793" s="8"/>
      <c r="D793" s="8"/>
      <c r="E793" s="13"/>
    </row>
    <row r="794" spans="1:5" x14ac:dyDescent="0.25">
      <c r="A794" s="12"/>
      <c r="B794" s="8"/>
      <c r="C794" s="8"/>
      <c r="D794" s="8"/>
      <c r="E794" s="13"/>
    </row>
    <row r="795" spans="1:5" x14ac:dyDescent="0.25">
      <c r="A795" s="12"/>
      <c r="B795" s="8"/>
      <c r="C795" s="8"/>
      <c r="D795" s="8"/>
      <c r="E795" s="13"/>
    </row>
    <row r="796" spans="1:5" x14ac:dyDescent="0.25">
      <c r="A796" s="12"/>
      <c r="B796" s="8"/>
      <c r="C796" s="8"/>
      <c r="D796" s="8"/>
      <c r="E796" s="13"/>
    </row>
    <row r="797" spans="1:5" x14ac:dyDescent="0.25">
      <c r="A797" s="12"/>
      <c r="B797" s="8"/>
      <c r="C797" s="8"/>
      <c r="D797" s="8"/>
      <c r="E797" s="13"/>
    </row>
    <row r="798" spans="1:5" x14ac:dyDescent="0.25">
      <c r="A798" s="12"/>
      <c r="B798" s="8"/>
      <c r="C798" s="8"/>
      <c r="D798" s="8"/>
      <c r="E798" s="13"/>
    </row>
    <row r="799" spans="1:5" x14ac:dyDescent="0.25">
      <c r="A799" s="12"/>
      <c r="B799" s="8"/>
      <c r="C799" s="8"/>
      <c r="D799" s="8"/>
      <c r="E799" s="13"/>
    </row>
    <row r="800" spans="1:5" x14ac:dyDescent="0.25">
      <c r="A800" s="12"/>
      <c r="B800" s="8"/>
      <c r="C800" s="8"/>
      <c r="D800" s="8"/>
      <c r="E800" s="13"/>
    </row>
    <row r="801" spans="1:5" x14ac:dyDescent="0.25">
      <c r="A801" s="12"/>
      <c r="B801" s="8"/>
      <c r="C801" s="8"/>
      <c r="D801" s="8"/>
      <c r="E801" s="13"/>
    </row>
    <row r="802" spans="1:5" x14ac:dyDescent="0.25">
      <c r="A802" s="12"/>
      <c r="B802" s="8"/>
      <c r="C802" s="8"/>
      <c r="D802" s="8"/>
      <c r="E802" s="13"/>
    </row>
    <row r="803" spans="1:5" x14ac:dyDescent="0.25">
      <c r="A803" s="12"/>
      <c r="B803" s="8"/>
      <c r="C803" s="8"/>
      <c r="D803" s="8"/>
      <c r="E803" s="13"/>
    </row>
    <row r="804" spans="1:5" x14ac:dyDescent="0.25">
      <c r="A804" s="12"/>
      <c r="B804" s="8"/>
      <c r="C804" s="8"/>
      <c r="D804" s="8"/>
      <c r="E804" s="13"/>
    </row>
    <row r="805" spans="1:5" x14ac:dyDescent="0.25">
      <c r="A805" s="12"/>
      <c r="B805" s="8"/>
      <c r="C805" s="8"/>
      <c r="D805" s="8"/>
      <c r="E805" s="13"/>
    </row>
    <row r="806" spans="1:5" x14ac:dyDescent="0.25">
      <c r="A806" s="12"/>
      <c r="B806" s="8"/>
      <c r="C806" s="8"/>
      <c r="D806" s="8"/>
      <c r="E806" s="13"/>
    </row>
    <row r="807" spans="1:5" x14ac:dyDescent="0.25">
      <c r="A807" s="12"/>
      <c r="B807" s="8"/>
      <c r="C807" s="8"/>
      <c r="D807" s="8"/>
      <c r="E807" s="13"/>
    </row>
    <row r="808" spans="1:5" x14ac:dyDescent="0.25">
      <c r="A808" s="12"/>
      <c r="B808" s="8"/>
      <c r="C808" s="8"/>
      <c r="D808" s="8"/>
      <c r="E808" s="13"/>
    </row>
    <row r="809" spans="1:5" x14ac:dyDescent="0.25">
      <c r="A809" s="12"/>
      <c r="B809" s="8"/>
      <c r="C809" s="8"/>
      <c r="D809" s="8"/>
      <c r="E809" s="13"/>
    </row>
    <row r="810" spans="1:5" x14ac:dyDescent="0.25">
      <c r="A810" s="12"/>
      <c r="B810" s="8"/>
      <c r="C810" s="8"/>
      <c r="D810" s="8"/>
      <c r="E810" s="13"/>
    </row>
    <row r="811" spans="1:5" x14ac:dyDescent="0.25">
      <c r="A811" s="12"/>
      <c r="B811" s="8"/>
      <c r="C811" s="8"/>
      <c r="D811" s="8"/>
      <c r="E811" s="13"/>
    </row>
    <row r="812" spans="1:5" x14ac:dyDescent="0.25">
      <c r="A812" s="12"/>
      <c r="B812" s="8"/>
      <c r="C812" s="8"/>
      <c r="D812" s="8"/>
      <c r="E812" s="13"/>
    </row>
    <row r="813" spans="1:5" x14ac:dyDescent="0.25">
      <c r="A813" s="12"/>
      <c r="B813" s="8"/>
      <c r="C813" s="8"/>
      <c r="D813" s="8"/>
      <c r="E813" s="13"/>
    </row>
    <row r="814" spans="1:5" x14ac:dyDescent="0.25">
      <c r="A814" s="12"/>
      <c r="B814" s="8"/>
      <c r="C814" s="8"/>
      <c r="D814" s="8"/>
      <c r="E814" s="13"/>
    </row>
    <row r="815" spans="1:5" x14ac:dyDescent="0.25">
      <c r="A815" s="12"/>
      <c r="B815" s="8"/>
      <c r="C815" s="8"/>
      <c r="D815" s="8"/>
      <c r="E815" s="13"/>
    </row>
    <row r="816" spans="1:5" x14ac:dyDescent="0.25">
      <c r="A816" s="12"/>
      <c r="B816" s="8"/>
      <c r="C816" s="8"/>
      <c r="D816" s="8"/>
      <c r="E816" s="13"/>
    </row>
    <row r="817" spans="1:5" x14ac:dyDescent="0.25">
      <c r="A817" s="12"/>
      <c r="B817" s="8"/>
      <c r="C817" s="8"/>
      <c r="D817" s="8"/>
      <c r="E817" s="13"/>
    </row>
    <row r="818" spans="1:5" x14ac:dyDescent="0.25">
      <c r="A818" s="12"/>
      <c r="B818" s="8"/>
      <c r="C818" s="8"/>
      <c r="D818" s="8"/>
      <c r="E818" s="13"/>
    </row>
    <row r="819" spans="1:5" x14ac:dyDescent="0.25">
      <c r="A819" s="12"/>
      <c r="B819" s="8"/>
      <c r="C819" s="8"/>
      <c r="D819" s="8"/>
      <c r="E819" s="13"/>
    </row>
    <row r="820" spans="1:5" x14ac:dyDescent="0.25">
      <c r="A820" s="12"/>
      <c r="B820" s="8"/>
      <c r="C820" s="8"/>
      <c r="D820" s="8"/>
      <c r="E820" s="13"/>
    </row>
    <row r="821" spans="1:5" x14ac:dyDescent="0.25">
      <c r="A821" s="12"/>
      <c r="B821" s="8"/>
      <c r="C821" s="8"/>
      <c r="D821" s="8"/>
      <c r="E821" s="13"/>
    </row>
    <row r="822" spans="1:5" x14ac:dyDescent="0.25">
      <c r="A822" s="12"/>
      <c r="B822" s="8"/>
      <c r="C822" s="8"/>
      <c r="D822" s="8"/>
      <c r="E822" s="13"/>
    </row>
    <row r="823" spans="1:5" x14ac:dyDescent="0.25">
      <c r="A823" s="12"/>
      <c r="B823" s="8"/>
      <c r="C823" s="8"/>
      <c r="D823" s="8"/>
      <c r="E823" s="13"/>
    </row>
    <row r="824" spans="1:5" x14ac:dyDescent="0.25">
      <c r="A824" s="12"/>
      <c r="B824" s="8"/>
      <c r="C824" s="8"/>
      <c r="D824" s="8"/>
      <c r="E824" s="13"/>
    </row>
    <row r="825" spans="1:5" x14ac:dyDescent="0.25">
      <c r="A825" s="12"/>
      <c r="B825" s="8"/>
      <c r="C825" s="8"/>
      <c r="D825" s="8"/>
      <c r="E825" s="13"/>
    </row>
    <row r="826" spans="1:5" x14ac:dyDescent="0.25">
      <c r="A826" s="12"/>
      <c r="B826" s="8"/>
      <c r="C826" s="8"/>
      <c r="D826" s="8"/>
      <c r="E826" s="13"/>
    </row>
    <row r="827" spans="1:5" x14ac:dyDescent="0.25">
      <c r="A827" s="12"/>
      <c r="B827" s="8"/>
      <c r="C827" s="8"/>
      <c r="D827" s="8"/>
      <c r="E827" s="13"/>
    </row>
    <row r="828" spans="1:5" x14ac:dyDescent="0.25">
      <c r="A828" s="12"/>
      <c r="B828" s="8"/>
      <c r="C828" s="8"/>
      <c r="D828" s="8"/>
      <c r="E828" s="13"/>
    </row>
    <row r="829" spans="1:5" x14ac:dyDescent="0.25">
      <c r="A829" s="12"/>
      <c r="B829" s="8"/>
      <c r="C829" s="8"/>
      <c r="D829" s="8"/>
      <c r="E829" s="13"/>
    </row>
    <row r="830" spans="1:5" x14ac:dyDescent="0.25">
      <c r="A830" s="12"/>
      <c r="B830" s="8"/>
      <c r="C830" s="8"/>
      <c r="D830" s="8"/>
      <c r="E830" s="13"/>
    </row>
    <row r="831" spans="1:5" x14ac:dyDescent="0.25">
      <c r="A831" s="12"/>
      <c r="B831" s="8"/>
      <c r="C831" s="8"/>
      <c r="D831" s="8"/>
      <c r="E831" s="13"/>
    </row>
    <row r="832" spans="1:5" x14ac:dyDescent="0.25">
      <c r="A832" s="12"/>
      <c r="B832" s="8"/>
      <c r="C832" s="8"/>
      <c r="D832" s="8"/>
      <c r="E832" s="13"/>
    </row>
    <row r="833" spans="1:5" x14ac:dyDescent="0.25">
      <c r="A833" s="12"/>
      <c r="B833" s="8"/>
      <c r="C833" s="8"/>
      <c r="D833" s="8"/>
      <c r="E833" s="13"/>
    </row>
    <row r="834" spans="1:5" x14ac:dyDescent="0.25">
      <c r="A834" s="12"/>
      <c r="B834" s="8"/>
      <c r="C834" s="8"/>
      <c r="D834" s="8"/>
      <c r="E834" s="13"/>
    </row>
    <row r="835" spans="1:5" x14ac:dyDescent="0.25">
      <c r="A835" s="12"/>
      <c r="B835" s="8"/>
      <c r="C835" s="8"/>
      <c r="D835" s="8"/>
      <c r="E835" s="13"/>
    </row>
    <row r="836" spans="1:5" x14ac:dyDescent="0.25">
      <c r="A836" s="12"/>
      <c r="B836" s="8"/>
      <c r="C836" s="8"/>
      <c r="D836" s="8"/>
      <c r="E836" s="13"/>
    </row>
    <row r="837" spans="1:5" x14ac:dyDescent="0.25">
      <c r="A837" s="12"/>
      <c r="B837" s="8"/>
      <c r="C837" s="8"/>
      <c r="D837" s="8"/>
      <c r="E837" s="13"/>
    </row>
    <row r="838" spans="1:5" x14ac:dyDescent="0.25">
      <c r="A838" s="12"/>
      <c r="B838" s="8"/>
      <c r="C838" s="8"/>
      <c r="D838" s="8"/>
      <c r="E838" s="13"/>
    </row>
    <row r="839" spans="1:5" x14ac:dyDescent="0.25">
      <c r="A839" s="12"/>
      <c r="B839" s="8"/>
      <c r="C839" s="8"/>
      <c r="D839" s="8"/>
      <c r="E839" s="13"/>
    </row>
    <row r="840" spans="1:5" x14ac:dyDescent="0.25">
      <c r="A840" s="12"/>
      <c r="B840" s="8"/>
      <c r="C840" s="8"/>
      <c r="D840" s="8"/>
      <c r="E840" s="13"/>
    </row>
    <row r="841" spans="1:5" x14ac:dyDescent="0.25">
      <c r="A841" s="12"/>
      <c r="B841" s="8"/>
      <c r="C841" s="8"/>
      <c r="D841" s="8"/>
      <c r="E841" s="13"/>
    </row>
    <row r="842" spans="1:5" x14ac:dyDescent="0.25">
      <c r="A842" s="12"/>
      <c r="B842" s="8"/>
      <c r="C842" s="8"/>
      <c r="D842" s="8"/>
      <c r="E842" s="13"/>
    </row>
    <row r="843" spans="1:5" x14ac:dyDescent="0.25">
      <c r="A843" s="12"/>
      <c r="B843" s="8"/>
      <c r="C843" s="8"/>
      <c r="D843" s="8"/>
      <c r="E843" s="13"/>
    </row>
    <row r="844" spans="1:5" x14ac:dyDescent="0.25">
      <c r="A844" s="12"/>
      <c r="B844" s="8"/>
      <c r="C844" s="8"/>
      <c r="D844" s="8"/>
      <c r="E844" s="13"/>
    </row>
    <row r="845" spans="1:5" x14ac:dyDescent="0.25">
      <c r="A845" s="12"/>
      <c r="B845" s="8"/>
      <c r="C845" s="8"/>
      <c r="D845" s="8"/>
      <c r="E845" s="13"/>
    </row>
    <row r="846" spans="1:5" x14ac:dyDescent="0.25">
      <c r="A846" s="12"/>
      <c r="B846" s="8"/>
      <c r="C846" s="8"/>
      <c r="D846" s="8"/>
      <c r="E846" s="13"/>
    </row>
    <row r="847" spans="1:5" x14ac:dyDescent="0.25">
      <c r="A847" s="12"/>
      <c r="B847" s="8"/>
      <c r="C847" s="8"/>
      <c r="D847" s="8"/>
      <c r="E847" s="13"/>
    </row>
    <row r="848" spans="1:5" x14ac:dyDescent="0.25">
      <c r="A848" s="12"/>
      <c r="B848" s="8"/>
      <c r="C848" s="8"/>
      <c r="D848" s="8"/>
      <c r="E848" s="13"/>
    </row>
    <row r="849" spans="1:5" x14ac:dyDescent="0.25">
      <c r="A849" s="12"/>
      <c r="B849" s="8"/>
      <c r="C849" s="8"/>
      <c r="D849" s="8"/>
      <c r="E849" s="13"/>
    </row>
    <row r="850" spans="1:5" x14ac:dyDescent="0.25">
      <c r="A850" s="12"/>
      <c r="B850" s="8"/>
      <c r="C850" s="8"/>
      <c r="D850" s="8"/>
      <c r="E850" s="13"/>
    </row>
    <row r="851" spans="1:5" x14ac:dyDescent="0.25">
      <c r="A851" s="12"/>
      <c r="B851" s="8"/>
      <c r="C851" s="8"/>
      <c r="D851" s="8"/>
      <c r="E851" s="13"/>
    </row>
    <row r="852" spans="1:5" x14ac:dyDescent="0.25">
      <c r="A852" s="12"/>
      <c r="B852" s="8"/>
      <c r="C852" s="8"/>
      <c r="D852" s="8"/>
      <c r="E852" s="13"/>
    </row>
    <row r="853" spans="1:5" x14ac:dyDescent="0.25">
      <c r="A853" s="12"/>
      <c r="B853" s="8"/>
      <c r="C853" s="8"/>
      <c r="D853" s="8"/>
      <c r="E853" s="13"/>
    </row>
    <row r="854" spans="1:5" x14ac:dyDescent="0.25">
      <c r="A854" s="12"/>
      <c r="B854" s="8"/>
      <c r="C854" s="8"/>
      <c r="D854" s="8"/>
      <c r="E854" s="13"/>
    </row>
    <row r="855" spans="1:5" x14ac:dyDescent="0.25">
      <c r="A855" s="12"/>
      <c r="B855" s="8"/>
      <c r="C855" s="8"/>
      <c r="D855" s="8"/>
      <c r="E855" s="13"/>
    </row>
    <row r="856" spans="1:5" x14ac:dyDescent="0.25">
      <c r="A856" s="12"/>
      <c r="B856" s="8"/>
      <c r="C856" s="8"/>
      <c r="D856" s="8"/>
      <c r="E856" s="13"/>
    </row>
    <row r="857" spans="1:5" x14ac:dyDescent="0.25">
      <c r="A857" s="12"/>
      <c r="B857" s="8"/>
      <c r="C857" s="8"/>
      <c r="D857" s="8"/>
      <c r="E857" s="13"/>
    </row>
    <row r="858" spans="1:5" x14ac:dyDescent="0.25">
      <c r="A858" s="12"/>
      <c r="B858" s="8"/>
      <c r="C858" s="8"/>
      <c r="D858" s="8"/>
      <c r="E858" s="13"/>
    </row>
    <row r="859" spans="1:5" x14ac:dyDescent="0.25">
      <c r="A859" s="12"/>
      <c r="B859" s="8"/>
      <c r="C859" s="8"/>
      <c r="D859" s="8"/>
      <c r="E859" s="13"/>
    </row>
    <row r="860" spans="1:5" x14ac:dyDescent="0.25">
      <c r="A860" s="12"/>
      <c r="B860" s="8"/>
      <c r="C860" s="8"/>
      <c r="D860" s="8"/>
      <c r="E860" s="13"/>
    </row>
    <row r="861" spans="1:5" x14ac:dyDescent="0.25">
      <c r="A861" s="12"/>
      <c r="B861" s="8"/>
      <c r="C861" s="8"/>
      <c r="D861" s="8"/>
      <c r="E861" s="13"/>
    </row>
    <row r="862" spans="1:5" x14ac:dyDescent="0.25">
      <c r="A862" s="12"/>
      <c r="B862" s="8"/>
      <c r="C862" s="8"/>
      <c r="D862" s="8"/>
      <c r="E862" s="13"/>
    </row>
    <row r="863" spans="1:5" x14ac:dyDescent="0.25">
      <c r="A863" s="12"/>
      <c r="B863" s="8"/>
      <c r="C863" s="8"/>
      <c r="D863" s="8"/>
      <c r="E863" s="13"/>
    </row>
    <row r="864" spans="1:5" x14ac:dyDescent="0.25">
      <c r="A864" s="12"/>
      <c r="B864" s="8"/>
      <c r="C864" s="8"/>
      <c r="D864" s="8"/>
      <c r="E864" s="13"/>
    </row>
    <row r="865" spans="1:5" x14ac:dyDescent="0.25">
      <c r="A865" s="12"/>
      <c r="B865" s="8"/>
      <c r="C865" s="8"/>
      <c r="D865" s="8"/>
      <c r="E865" s="13"/>
    </row>
    <row r="866" spans="1:5" x14ac:dyDescent="0.25">
      <c r="A866" s="12"/>
      <c r="B866" s="8"/>
      <c r="C866" s="8"/>
      <c r="D866" s="8"/>
      <c r="E866" s="13"/>
    </row>
    <row r="867" spans="1:5" x14ac:dyDescent="0.25">
      <c r="A867" s="12"/>
      <c r="B867" s="8"/>
      <c r="C867" s="8"/>
      <c r="D867" s="8"/>
      <c r="E867" s="13"/>
    </row>
    <row r="868" spans="1:5" x14ac:dyDescent="0.25">
      <c r="A868" s="12"/>
      <c r="B868" s="8"/>
      <c r="C868" s="8"/>
      <c r="D868" s="8"/>
      <c r="E868" s="13"/>
    </row>
    <row r="869" spans="1:5" x14ac:dyDescent="0.25">
      <c r="A869" s="12"/>
      <c r="B869" s="8"/>
      <c r="C869" s="8"/>
      <c r="D869" s="8"/>
      <c r="E869" s="13"/>
    </row>
    <row r="870" spans="1:5" x14ac:dyDescent="0.25">
      <c r="A870" s="12"/>
      <c r="B870" s="8"/>
      <c r="C870" s="8"/>
      <c r="D870" s="8"/>
      <c r="E870" s="13"/>
    </row>
    <row r="871" spans="1:5" x14ac:dyDescent="0.25">
      <c r="A871" s="12"/>
      <c r="B871" s="8"/>
      <c r="C871" s="8"/>
      <c r="D871" s="8"/>
      <c r="E871" s="13"/>
    </row>
    <row r="872" spans="1:5" x14ac:dyDescent="0.25">
      <c r="A872" s="12"/>
      <c r="B872" s="8"/>
      <c r="C872" s="8"/>
      <c r="D872" s="8"/>
      <c r="E872" s="13"/>
    </row>
    <row r="873" spans="1:5" x14ac:dyDescent="0.25">
      <c r="A873" s="12"/>
      <c r="B873" s="8"/>
      <c r="C873" s="8"/>
      <c r="D873" s="8"/>
      <c r="E873" s="13"/>
    </row>
    <row r="874" spans="1:5" x14ac:dyDescent="0.25">
      <c r="A874" s="12"/>
      <c r="B874" s="8"/>
      <c r="C874" s="8"/>
      <c r="D874" s="8"/>
      <c r="E874" s="13"/>
    </row>
    <row r="875" spans="1:5" x14ac:dyDescent="0.25">
      <c r="A875" s="12"/>
      <c r="B875" s="8"/>
      <c r="C875" s="8"/>
      <c r="D875" s="8"/>
      <c r="E875" s="13"/>
    </row>
    <row r="876" spans="1:5" x14ac:dyDescent="0.25">
      <c r="A876" s="12"/>
      <c r="B876" s="8"/>
      <c r="C876" s="8"/>
      <c r="D876" s="8"/>
      <c r="E876" s="13"/>
    </row>
    <row r="877" spans="1:5" x14ac:dyDescent="0.25">
      <c r="A877" s="12"/>
      <c r="B877" s="8"/>
      <c r="C877" s="8"/>
      <c r="D877" s="8"/>
      <c r="E877" s="13"/>
    </row>
    <row r="878" spans="1:5" x14ac:dyDescent="0.25">
      <c r="A878" s="12"/>
      <c r="B878" s="8"/>
      <c r="C878" s="8"/>
      <c r="D878" s="8"/>
      <c r="E878" s="13"/>
    </row>
    <row r="879" spans="1:5" x14ac:dyDescent="0.25">
      <c r="A879" s="12"/>
      <c r="B879" s="8"/>
      <c r="C879" s="8"/>
      <c r="D879" s="8"/>
      <c r="E879" s="13"/>
    </row>
    <row r="880" spans="1:5" x14ac:dyDescent="0.25">
      <c r="A880" s="12"/>
      <c r="B880" s="8"/>
      <c r="C880" s="8"/>
      <c r="D880" s="8"/>
      <c r="E880" s="13"/>
    </row>
    <row r="881" spans="1:5" x14ac:dyDescent="0.25">
      <c r="A881" s="12"/>
      <c r="B881" s="8"/>
      <c r="C881" s="8"/>
      <c r="D881" s="8"/>
      <c r="E881" s="13"/>
    </row>
    <row r="882" spans="1:5" x14ac:dyDescent="0.25">
      <c r="A882" s="12"/>
      <c r="B882" s="8"/>
      <c r="C882" s="8"/>
      <c r="D882" s="8"/>
      <c r="E882" s="13"/>
    </row>
    <row r="883" spans="1:5" x14ac:dyDescent="0.25">
      <c r="A883" s="12"/>
      <c r="B883" s="8"/>
      <c r="C883" s="8"/>
      <c r="D883" s="8"/>
      <c r="E883" s="13"/>
    </row>
    <row r="884" spans="1:5" x14ac:dyDescent="0.25">
      <c r="A884" s="12"/>
      <c r="B884" s="8"/>
      <c r="C884" s="8"/>
      <c r="D884" s="8"/>
      <c r="E884" s="13"/>
    </row>
    <row r="885" spans="1:5" x14ac:dyDescent="0.25">
      <c r="A885" s="12"/>
      <c r="B885" s="8"/>
      <c r="C885" s="8"/>
      <c r="D885" s="8"/>
      <c r="E885" s="13"/>
    </row>
    <row r="886" spans="1:5" x14ac:dyDescent="0.25">
      <c r="A886" s="12"/>
      <c r="B886" s="8"/>
      <c r="C886" s="8"/>
      <c r="D886" s="8"/>
      <c r="E886" s="13"/>
    </row>
    <row r="887" spans="1:5" x14ac:dyDescent="0.25">
      <c r="A887" s="12"/>
      <c r="B887" s="8"/>
      <c r="C887" s="8"/>
      <c r="D887" s="8"/>
      <c r="E887" s="13"/>
    </row>
    <row r="888" spans="1:5" x14ac:dyDescent="0.25">
      <c r="A888" s="12"/>
      <c r="B888" s="8"/>
      <c r="C888" s="8"/>
      <c r="D888" s="8"/>
      <c r="E888" s="13"/>
    </row>
    <row r="889" spans="1:5" x14ac:dyDescent="0.25">
      <c r="A889" s="12"/>
      <c r="B889" s="8"/>
      <c r="C889" s="8"/>
      <c r="D889" s="8"/>
      <c r="E889" s="13"/>
    </row>
    <row r="890" spans="1:5" x14ac:dyDescent="0.25">
      <c r="A890" s="12"/>
      <c r="B890" s="8"/>
      <c r="C890" s="8"/>
      <c r="D890" s="8"/>
      <c r="E890" s="13"/>
    </row>
    <row r="891" spans="1:5" x14ac:dyDescent="0.25">
      <c r="A891" s="12"/>
      <c r="B891" s="8"/>
      <c r="C891" s="8"/>
      <c r="D891" s="8"/>
      <c r="E891" s="13"/>
    </row>
    <row r="892" spans="1:5" x14ac:dyDescent="0.25">
      <c r="A892" s="12"/>
      <c r="B892" s="8"/>
      <c r="C892" s="8"/>
      <c r="D892" s="8"/>
      <c r="E892" s="13"/>
    </row>
    <row r="893" spans="1:5" x14ac:dyDescent="0.25">
      <c r="A893" s="12"/>
      <c r="B893" s="8"/>
      <c r="C893" s="8"/>
      <c r="D893" s="8"/>
      <c r="E893" s="13"/>
    </row>
    <row r="894" spans="1:5" x14ac:dyDescent="0.25">
      <c r="A894" s="12"/>
      <c r="B894" s="8"/>
      <c r="C894" s="8"/>
      <c r="D894" s="8"/>
      <c r="E894" s="13"/>
    </row>
    <row r="895" spans="1:5" x14ac:dyDescent="0.25">
      <c r="A895" s="12"/>
      <c r="B895" s="8"/>
      <c r="C895" s="8"/>
      <c r="D895" s="8"/>
      <c r="E895" s="13"/>
    </row>
    <row r="896" spans="1:5" x14ac:dyDescent="0.25">
      <c r="A896" s="12"/>
      <c r="B896" s="8"/>
      <c r="C896" s="8"/>
      <c r="D896" s="8"/>
      <c r="E896" s="13"/>
    </row>
    <row r="897" spans="1:5" x14ac:dyDescent="0.25">
      <c r="A897" s="12"/>
      <c r="B897" s="8"/>
      <c r="C897" s="8"/>
      <c r="D897" s="8"/>
      <c r="E897" s="13"/>
    </row>
    <row r="898" spans="1:5" x14ac:dyDescent="0.25">
      <c r="A898" s="12"/>
      <c r="B898" s="8"/>
      <c r="C898" s="8"/>
      <c r="D898" s="8"/>
      <c r="E898" s="13"/>
    </row>
    <row r="899" spans="1:5" x14ac:dyDescent="0.25">
      <c r="A899" s="12"/>
      <c r="B899" s="8"/>
      <c r="C899" s="8"/>
      <c r="D899" s="8"/>
      <c r="E899" s="13"/>
    </row>
    <row r="900" spans="1:5" x14ac:dyDescent="0.25">
      <c r="A900" s="12"/>
      <c r="B900" s="8"/>
      <c r="C900" s="8"/>
      <c r="D900" s="8"/>
      <c r="E900" s="13"/>
    </row>
    <row r="901" spans="1:5" x14ac:dyDescent="0.25">
      <c r="A901" s="12"/>
      <c r="B901" s="8"/>
      <c r="C901" s="8"/>
      <c r="D901" s="8"/>
      <c r="E901" s="13"/>
    </row>
    <row r="902" spans="1:5" x14ac:dyDescent="0.25">
      <c r="A902" s="12"/>
      <c r="B902" s="8"/>
      <c r="C902" s="8"/>
      <c r="D902" s="8"/>
      <c r="E902" s="13"/>
    </row>
    <row r="903" spans="1:5" x14ac:dyDescent="0.25">
      <c r="A903" s="12"/>
      <c r="B903" s="8"/>
      <c r="C903" s="8"/>
      <c r="D903" s="8"/>
      <c r="E903" s="13"/>
    </row>
    <row r="904" spans="1:5" x14ac:dyDescent="0.25">
      <c r="A904" s="12"/>
      <c r="B904" s="8"/>
      <c r="C904" s="8"/>
      <c r="D904" s="8"/>
      <c r="E904" s="13"/>
    </row>
    <row r="905" spans="1:5" x14ac:dyDescent="0.25">
      <c r="A905" s="12"/>
      <c r="B905" s="8"/>
      <c r="C905" s="8"/>
      <c r="D905" s="8"/>
      <c r="E905" s="13"/>
    </row>
    <row r="906" spans="1:5" x14ac:dyDescent="0.25">
      <c r="A906" s="12"/>
      <c r="B906" s="8"/>
      <c r="C906" s="8"/>
      <c r="D906" s="8"/>
      <c r="E906" s="13"/>
    </row>
    <row r="907" spans="1:5" x14ac:dyDescent="0.25">
      <c r="A907" s="12"/>
      <c r="B907" s="8"/>
      <c r="C907" s="8"/>
      <c r="D907" s="8"/>
      <c r="E907" s="13"/>
    </row>
    <row r="908" spans="1:5" x14ac:dyDescent="0.25">
      <c r="A908" s="12"/>
      <c r="B908" s="8"/>
      <c r="C908" s="8"/>
      <c r="D908" s="8"/>
      <c r="E908" s="13"/>
    </row>
    <row r="909" spans="1:5" x14ac:dyDescent="0.25">
      <c r="A909" s="12"/>
      <c r="B909" s="8"/>
      <c r="C909" s="8"/>
      <c r="D909" s="8"/>
      <c r="E909" s="13"/>
    </row>
    <row r="910" spans="1:5" x14ac:dyDescent="0.25">
      <c r="A910" s="12"/>
      <c r="B910" s="8"/>
      <c r="C910" s="8"/>
      <c r="D910" s="8"/>
      <c r="E910" s="13"/>
    </row>
    <row r="911" spans="1:5" x14ac:dyDescent="0.25">
      <c r="A911" s="12"/>
      <c r="B911" s="8"/>
      <c r="C911" s="8"/>
      <c r="D911" s="8"/>
      <c r="E911" s="13"/>
    </row>
    <row r="912" spans="1:5" x14ac:dyDescent="0.25">
      <c r="A912" s="12"/>
      <c r="B912" s="8"/>
      <c r="C912" s="8"/>
      <c r="D912" s="8"/>
      <c r="E912" s="13"/>
    </row>
    <row r="913" spans="1:5" x14ac:dyDescent="0.25">
      <c r="A913" s="12"/>
      <c r="B913" s="8"/>
      <c r="C913" s="8"/>
      <c r="D913" s="8"/>
      <c r="E913" s="13"/>
    </row>
    <row r="914" spans="1:5" x14ac:dyDescent="0.25">
      <c r="A914" s="12"/>
      <c r="B914" s="8"/>
      <c r="C914" s="8"/>
      <c r="D914" s="8"/>
      <c r="E914" s="13"/>
    </row>
    <row r="915" spans="1:5" x14ac:dyDescent="0.25">
      <c r="A915" s="12"/>
      <c r="B915" s="8"/>
      <c r="C915" s="8"/>
      <c r="D915" s="8"/>
      <c r="E915" s="13"/>
    </row>
    <row r="916" spans="1:5" x14ac:dyDescent="0.25">
      <c r="A916" s="12"/>
      <c r="B916" s="8"/>
      <c r="C916" s="8"/>
      <c r="D916" s="8"/>
      <c r="E916" s="13"/>
    </row>
    <row r="917" spans="1:5" x14ac:dyDescent="0.25">
      <c r="A917" s="12"/>
      <c r="B917" s="8"/>
      <c r="C917" s="8"/>
      <c r="D917" s="8"/>
      <c r="E917" s="13"/>
    </row>
    <row r="918" spans="1:5" x14ac:dyDescent="0.25">
      <c r="A918" s="12"/>
      <c r="B918" s="8"/>
      <c r="C918" s="8"/>
      <c r="D918" s="8"/>
      <c r="E918" s="13"/>
    </row>
    <row r="919" spans="1:5" x14ac:dyDescent="0.25">
      <c r="A919" s="12"/>
      <c r="B919" s="8"/>
      <c r="C919" s="8"/>
      <c r="D919" s="8"/>
      <c r="E919" s="13"/>
    </row>
    <row r="920" spans="1:5" x14ac:dyDescent="0.25">
      <c r="A920" s="12"/>
      <c r="B920" s="8"/>
      <c r="C920" s="8"/>
      <c r="D920" s="8"/>
      <c r="E920" s="13"/>
    </row>
    <row r="921" spans="1:5" x14ac:dyDescent="0.25">
      <c r="A921" s="12"/>
      <c r="B921" s="8"/>
      <c r="C921" s="8"/>
      <c r="D921" s="8"/>
      <c r="E921" s="13"/>
    </row>
    <row r="922" spans="1:5" x14ac:dyDescent="0.25">
      <c r="A922" s="12"/>
      <c r="B922" s="8"/>
      <c r="C922" s="8"/>
      <c r="D922" s="8"/>
      <c r="E922" s="13"/>
    </row>
    <row r="923" spans="1:5" x14ac:dyDescent="0.25">
      <c r="A923" s="12"/>
      <c r="B923" s="8"/>
      <c r="C923" s="8"/>
      <c r="D923" s="8"/>
      <c r="E923" s="13"/>
    </row>
    <row r="924" spans="1:5" x14ac:dyDescent="0.25">
      <c r="A924" s="12"/>
      <c r="B924" s="8"/>
      <c r="C924" s="8"/>
      <c r="D924" s="8"/>
      <c r="E924" s="13"/>
    </row>
    <row r="925" spans="1:5" x14ac:dyDescent="0.25">
      <c r="A925" s="12"/>
      <c r="B925" s="8"/>
      <c r="C925" s="8"/>
      <c r="D925" s="8"/>
      <c r="E925" s="13"/>
    </row>
    <row r="926" spans="1:5" x14ac:dyDescent="0.25">
      <c r="A926" s="12"/>
      <c r="B926" s="8"/>
      <c r="C926" s="8"/>
      <c r="D926" s="8"/>
      <c r="E926" s="13"/>
    </row>
    <row r="927" spans="1:5" x14ac:dyDescent="0.25">
      <c r="A927" s="12"/>
      <c r="B927" s="8"/>
      <c r="C927" s="8"/>
      <c r="D927" s="8"/>
      <c r="E927" s="13"/>
    </row>
    <row r="928" spans="1:5" x14ac:dyDescent="0.25">
      <c r="A928" s="12"/>
      <c r="B928" s="8"/>
      <c r="C928" s="8"/>
      <c r="D928" s="8"/>
      <c r="E928" s="13"/>
    </row>
    <row r="929" spans="1:5" x14ac:dyDescent="0.25">
      <c r="A929" s="12"/>
      <c r="B929" s="8"/>
      <c r="C929" s="8"/>
      <c r="D929" s="8"/>
      <c r="E929" s="13"/>
    </row>
    <row r="930" spans="1:5" x14ac:dyDescent="0.25">
      <c r="A930" s="12"/>
      <c r="B930" s="8"/>
      <c r="C930" s="8"/>
      <c r="D930" s="8"/>
      <c r="E930" s="13"/>
    </row>
    <row r="931" spans="1:5" x14ac:dyDescent="0.25">
      <c r="A931" s="12"/>
      <c r="B931" s="8"/>
      <c r="C931" s="8"/>
      <c r="D931" s="8"/>
      <c r="E931" s="13"/>
    </row>
    <row r="932" spans="1:5" x14ac:dyDescent="0.25">
      <c r="A932" s="12"/>
      <c r="B932" s="8"/>
      <c r="C932" s="8"/>
      <c r="D932" s="8"/>
      <c r="E932" s="13"/>
    </row>
    <row r="933" spans="1:5" x14ac:dyDescent="0.25">
      <c r="A933" s="12"/>
      <c r="B933" s="8"/>
      <c r="C933" s="8"/>
      <c r="D933" s="8"/>
      <c r="E933" s="13"/>
    </row>
    <row r="934" spans="1:5" x14ac:dyDescent="0.25">
      <c r="A934" s="12"/>
      <c r="B934" s="8"/>
      <c r="C934" s="8"/>
      <c r="D934" s="8"/>
      <c r="E934" s="13"/>
    </row>
    <row r="935" spans="1:5" x14ac:dyDescent="0.25">
      <c r="A935" s="12"/>
      <c r="B935" s="8"/>
      <c r="C935" s="8"/>
      <c r="D935" s="8"/>
      <c r="E935" s="13"/>
    </row>
    <row r="936" spans="1:5" x14ac:dyDescent="0.25">
      <c r="A936" s="12"/>
      <c r="B936" s="8"/>
      <c r="C936" s="8"/>
      <c r="D936" s="8"/>
      <c r="E936" s="13"/>
    </row>
    <row r="937" spans="1:5" x14ac:dyDescent="0.25">
      <c r="A937" s="12"/>
      <c r="B937" s="8"/>
      <c r="C937" s="8"/>
      <c r="D937" s="8"/>
      <c r="E937" s="13"/>
    </row>
    <row r="938" spans="1:5" x14ac:dyDescent="0.25">
      <c r="A938" s="12"/>
      <c r="B938" s="8"/>
      <c r="C938" s="8"/>
      <c r="D938" s="8"/>
      <c r="E938" s="13"/>
    </row>
    <row r="939" spans="1:5" x14ac:dyDescent="0.25">
      <c r="A939" s="12"/>
      <c r="B939" s="8"/>
      <c r="C939" s="8"/>
      <c r="D939" s="8"/>
      <c r="E939" s="13"/>
    </row>
    <row r="940" spans="1:5" x14ac:dyDescent="0.25">
      <c r="A940" s="12"/>
      <c r="B940" s="8"/>
      <c r="C940" s="8"/>
      <c r="D940" s="8"/>
      <c r="E940" s="13"/>
    </row>
    <row r="941" spans="1:5" x14ac:dyDescent="0.25">
      <c r="A941" s="12"/>
      <c r="B941" s="8"/>
      <c r="C941" s="8"/>
      <c r="D941" s="8"/>
      <c r="E941" s="13"/>
    </row>
    <row r="942" spans="1:5" x14ac:dyDescent="0.25">
      <c r="A942" s="12"/>
      <c r="B942" s="8"/>
      <c r="C942" s="8"/>
      <c r="D942" s="8"/>
      <c r="E942" s="13"/>
    </row>
    <row r="943" spans="1:5" x14ac:dyDescent="0.25">
      <c r="A943" s="12"/>
      <c r="B943" s="8"/>
      <c r="C943" s="8"/>
      <c r="D943" s="8"/>
      <c r="E943" s="13"/>
    </row>
    <row r="944" spans="1:5" x14ac:dyDescent="0.25">
      <c r="A944" s="12"/>
      <c r="B944" s="8"/>
      <c r="C944" s="8"/>
      <c r="D944" s="8"/>
      <c r="E944" s="13"/>
    </row>
    <row r="945" spans="1:5" x14ac:dyDescent="0.25">
      <c r="A945" s="12"/>
      <c r="B945" s="8"/>
      <c r="C945" s="8"/>
      <c r="D945" s="8"/>
      <c r="E945" s="13"/>
    </row>
    <row r="946" spans="1:5" x14ac:dyDescent="0.25">
      <c r="A946" s="12"/>
      <c r="B946" s="8"/>
      <c r="C946" s="8"/>
      <c r="D946" s="8"/>
      <c r="E946" s="13"/>
    </row>
    <row r="947" spans="1:5" x14ac:dyDescent="0.25">
      <c r="A947" s="12"/>
      <c r="B947" s="8"/>
      <c r="C947" s="8"/>
      <c r="D947" s="8"/>
      <c r="E947" s="13"/>
    </row>
    <row r="948" spans="1:5" x14ac:dyDescent="0.25">
      <c r="A948" s="12"/>
      <c r="B948" s="8"/>
      <c r="C948" s="8"/>
      <c r="D948" s="8"/>
      <c r="E948" s="13"/>
    </row>
    <row r="949" spans="1:5" x14ac:dyDescent="0.25">
      <c r="A949" s="12"/>
      <c r="B949" s="8"/>
      <c r="C949" s="8"/>
      <c r="D949" s="8"/>
      <c r="E949" s="13"/>
    </row>
    <row r="950" spans="1:5" x14ac:dyDescent="0.25">
      <c r="A950" s="12"/>
      <c r="B950" s="8"/>
      <c r="C950" s="8"/>
      <c r="D950" s="8"/>
      <c r="E950" s="13"/>
    </row>
    <row r="951" spans="1:5" x14ac:dyDescent="0.25">
      <c r="A951" s="12"/>
      <c r="B951" s="8"/>
      <c r="C951" s="8"/>
      <c r="D951" s="8"/>
      <c r="E951" s="13"/>
    </row>
    <row r="952" spans="1:5" x14ac:dyDescent="0.25">
      <c r="A952" s="12"/>
      <c r="B952" s="8"/>
      <c r="C952" s="8"/>
      <c r="D952" s="8"/>
      <c r="E952" s="13"/>
    </row>
    <row r="953" spans="1:5" x14ac:dyDescent="0.25">
      <c r="A953" s="12"/>
      <c r="B953" s="8"/>
      <c r="C953" s="8"/>
      <c r="D953" s="8"/>
      <c r="E953" s="13"/>
    </row>
    <row r="954" spans="1:5" x14ac:dyDescent="0.25">
      <c r="A954" s="12"/>
      <c r="B954" s="8"/>
      <c r="C954" s="8"/>
      <c r="D954" s="8"/>
      <c r="E954" s="13"/>
    </row>
    <row r="955" spans="1:5" x14ac:dyDescent="0.25">
      <c r="A955" s="12"/>
      <c r="B955" s="8"/>
      <c r="C955" s="8"/>
      <c r="D955" s="8"/>
      <c r="E955" s="13"/>
    </row>
    <row r="956" spans="1:5" x14ac:dyDescent="0.25">
      <c r="A956" s="12"/>
      <c r="B956" s="8"/>
      <c r="C956" s="8"/>
      <c r="D956" s="8"/>
      <c r="E956" s="13"/>
    </row>
    <row r="957" spans="1:5" x14ac:dyDescent="0.25">
      <c r="A957" s="12"/>
      <c r="B957" s="8"/>
      <c r="C957" s="8"/>
      <c r="D957" s="8"/>
      <c r="E957" s="13"/>
    </row>
    <row r="958" spans="1:5" x14ac:dyDescent="0.25">
      <c r="A958" s="12"/>
      <c r="B958" s="8"/>
      <c r="C958" s="8"/>
      <c r="D958" s="8"/>
      <c r="E958" s="13"/>
    </row>
    <row r="959" spans="1:5" x14ac:dyDescent="0.25">
      <c r="A959" s="12"/>
      <c r="B959" s="8"/>
      <c r="C959" s="8"/>
      <c r="D959" s="8"/>
      <c r="E959" s="13"/>
    </row>
    <row r="960" spans="1:5" x14ac:dyDescent="0.25">
      <c r="A960" s="12"/>
      <c r="B960" s="8"/>
      <c r="C960" s="8"/>
      <c r="D960" s="8"/>
      <c r="E960" s="13"/>
    </row>
    <row r="961" spans="1:5" x14ac:dyDescent="0.25">
      <c r="A961" s="12"/>
      <c r="B961" s="8"/>
      <c r="C961" s="8"/>
      <c r="D961" s="8"/>
      <c r="E961" s="13"/>
    </row>
    <row r="962" spans="1:5" x14ac:dyDescent="0.25">
      <c r="A962" s="12"/>
      <c r="B962" s="8"/>
      <c r="C962" s="8"/>
      <c r="D962" s="8"/>
      <c r="E962" s="13"/>
    </row>
    <row r="963" spans="1:5" x14ac:dyDescent="0.25">
      <c r="A963" s="12"/>
      <c r="B963" s="8"/>
      <c r="C963" s="8"/>
      <c r="D963" s="8"/>
      <c r="E963" s="13"/>
    </row>
    <row r="964" spans="1:5" x14ac:dyDescent="0.25">
      <c r="A964" s="12"/>
      <c r="B964" s="8"/>
      <c r="C964" s="8"/>
      <c r="D964" s="8"/>
      <c r="E964" s="13"/>
    </row>
    <row r="965" spans="1:5" x14ac:dyDescent="0.25">
      <c r="A965" s="12"/>
      <c r="B965" s="8"/>
      <c r="C965" s="8"/>
      <c r="D965" s="8"/>
      <c r="E965" s="13"/>
    </row>
    <row r="966" spans="1:5" x14ac:dyDescent="0.25">
      <c r="A966" s="12"/>
      <c r="B966" s="8"/>
      <c r="C966" s="8"/>
      <c r="D966" s="8"/>
      <c r="E966" s="13"/>
    </row>
    <row r="967" spans="1:5" x14ac:dyDescent="0.25">
      <c r="A967" s="12"/>
      <c r="B967" s="8"/>
      <c r="C967" s="8"/>
      <c r="D967" s="8"/>
      <c r="E967" s="13"/>
    </row>
    <row r="968" spans="1:5" x14ac:dyDescent="0.25">
      <c r="A968" s="12"/>
      <c r="B968" s="8"/>
      <c r="C968" s="8"/>
      <c r="D968" s="8"/>
      <c r="E968" s="13"/>
    </row>
    <row r="969" spans="1:5" x14ac:dyDescent="0.25">
      <c r="A969" s="12"/>
      <c r="B969" s="8"/>
      <c r="C969" s="8"/>
      <c r="D969" s="8"/>
      <c r="E969" s="13"/>
    </row>
    <row r="970" spans="1:5" x14ac:dyDescent="0.25">
      <c r="A970" s="12"/>
      <c r="B970" s="8"/>
      <c r="C970" s="8"/>
      <c r="D970" s="8"/>
      <c r="E970" s="13"/>
    </row>
    <row r="971" spans="1:5" x14ac:dyDescent="0.25">
      <c r="A971" s="12"/>
      <c r="B971" s="8"/>
      <c r="C971" s="8"/>
      <c r="D971" s="8"/>
      <c r="E971" s="13"/>
    </row>
    <row r="972" spans="1:5" x14ac:dyDescent="0.25">
      <c r="A972" s="12"/>
      <c r="B972" s="8"/>
      <c r="C972" s="8"/>
      <c r="D972" s="8"/>
      <c r="E972" s="13"/>
    </row>
    <row r="973" spans="1:5" x14ac:dyDescent="0.25">
      <c r="A973" s="12"/>
      <c r="B973" s="8"/>
      <c r="C973" s="8"/>
      <c r="D973" s="8"/>
      <c r="E973" s="13"/>
    </row>
    <row r="974" spans="1:5" x14ac:dyDescent="0.25">
      <c r="A974" s="12"/>
      <c r="B974" s="8"/>
      <c r="C974" s="8"/>
      <c r="D974" s="8"/>
      <c r="E974" s="13"/>
    </row>
    <row r="975" spans="1:5" x14ac:dyDescent="0.25">
      <c r="A975" s="12"/>
      <c r="B975" s="8"/>
      <c r="C975" s="8"/>
      <c r="D975" s="8"/>
      <c r="E975" s="13"/>
    </row>
    <row r="976" spans="1:5" x14ac:dyDescent="0.25">
      <c r="A976" s="12"/>
      <c r="B976" s="8"/>
      <c r="C976" s="8"/>
      <c r="D976" s="8"/>
      <c r="E976" s="13"/>
    </row>
    <row r="977" spans="1:5" x14ac:dyDescent="0.25">
      <c r="A977" s="12"/>
      <c r="B977" s="8"/>
      <c r="C977" s="8"/>
      <c r="D977" s="8"/>
      <c r="E977" s="13"/>
    </row>
    <row r="978" spans="1:5" x14ac:dyDescent="0.25">
      <c r="A978" s="12"/>
      <c r="B978" s="8"/>
      <c r="C978" s="8"/>
      <c r="D978" s="8"/>
      <c r="E978" s="13"/>
    </row>
    <row r="979" spans="1:5" x14ac:dyDescent="0.25">
      <c r="A979" s="12"/>
      <c r="B979" s="8"/>
      <c r="C979" s="8"/>
      <c r="D979" s="8"/>
      <c r="E979" s="13"/>
    </row>
    <row r="980" spans="1:5" x14ac:dyDescent="0.25">
      <c r="A980" s="12"/>
      <c r="B980" s="8"/>
      <c r="C980" s="8"/>
      <c r="D980" s="8"/>
      <c r="E980" s="13"/>
    </row>
    <row r="981" spans="1:5" x14ac:dyDescent="0.25">
      <c r="A981" s="12"/>
      <c r="B981" s="8"/>
      <c r="C981" s="8"/>
      <c r="D981" s="8"/>
      <c r="E981" s="13"/>
    </row>
    <row r="982" spans="1:5" x14ac:dyDescent="0.25">
      <c r="A982" s="12"/>
      <c r="B982" s="8"/>
      <c r="C982" s="8"/>
      <c r="D982" s="8"/>
      <c r="E982" s="13"/>
    </row>
    <row r="983" spans="1:5" x14ac:dyDescent="0.25">
      <c r="A983" s="12"/>
      <c r="B983" s="8"/>
      <c r="C983" s="8"/>
      <c r="D983" s="8"/>
      <c r="E983" s="13"/>
    </row>
    <row r="984" spans="1:5" x14ac:dyDescent="0.25">
      <c r="A984" s="12"/>
      <c r="B984" s="8"/>
      <c r="C984" s="8"/>
      <c r="D984" s="8"/>
      <c r="E984" s="13"/>
    </row>
    <row r="985" spans="1:5" x14ac:dyDescent="0.25">
      <c r="A985" s="12"/>
      <c r="B985" s="8"/>
      <c r="C985" s="8"/>
      <c r="D985" s="8"/>
      <c r="E985" s="13"/>
    </row>
    <row r="986" spans="1:5" x14ac:dyDescent="0.25">
      <c r="A986" s="12"/>
      <c r="B986" s="8"/>
      <c r="C986" s="8"/>
      <c r="D986" s="8"/>
      <c r="E986" s="13"/>
    </row>
    <row r="987" spans="1:5" x14ac:dyDescent="0.25">
      <c r="A987" s="12"/>
      <c r="B987" s="8"/>
      <c r="C987" s="8"/>
      <c r="D987" s="8"/>
      <c r="E987" s="13"/>
    </row>
    <row r="988" spans="1:5" x14ac:dyDescent="0.25">
      <c r="A988" s="12"/>
      <c r="B988" s="8"/>
      <c r="C988" s="8"/>
      <c r="D988" s="8"/>
      <c r="E988" s="13"/>
    </row>
    <row r="989" spans="1:5" x14ac:dyDescent="0.25">
      <c r="A989" s="12"/>
      <c r="B989" s="8"/>
      <c r="C989" s="8"/>
      <c r="D989" s="8"/>
      <c r="E989" s="13"/>
    </row>
    <row r="990" spans="1:5" x14ac:dyDescent="0.25">
      <c r="A990" s="12"/>
      <c r="B990" s="8"/>
      <c r="C990" s="8"/>
      <c r="D990" s="8"/>
      <c r="E990" s="13"/>
    </row>
    <row r="991" spans="1:5" x14ac:dyDescent="0.25">
      <c r="A991" s="12"/>
      <c r="B991" s="8"/>
      <c r="C991" s="8"/>
      <c r="D991" s="8"/>
      <c r="E991" s="13"/>
    </row>
    <row r="992" spans="1:5" x14ac:dyDescent="0.25">
      <c r="A992" s="12"/>
      <c r="B992" s="8"/>
      <c r="C992" s="8"/>
      <c r="D992" s="8"/>
      <c r="E992" s="13"/>
    </row>
    <row r="993" spans="1:5" x14ac:dyDescent="0.25">
      <c r="A993" s="12"/>
      <c r="B993" s="8"/>
      <c r="C993" s="8"/>
      <c r="D993" s="8"/>
      <c r="E993" s="13"/>
    </row>
    <row r="994" spans="1:5" x14ac:dyDescent="0.25">
      <c r="A994" s="12"/>
      <c r="B994" s="8"/>
      <c r="C994" s="8"/>
      <c r="D994" s="8"/>
      <c r="E994" s="13"/>
    </row>
    <row r="995" spans="1:5" x14ac:dyDescent="0.25">
      <c r="A995" s="12"/>
      <c r="B995" s="8"/>
      <c r="C995" s="8"/>
      <c r="D995" s="8"/>
      <c r="E995" s="13"/>
    </row>
    <row r="996" spans="1:5" x14ac:dyDescent="0.25">
      <c r="A996" s="12"/>
      <c r="B996" s="8"/>
      <c r="C996" s="8"/>
      <c r="D996" s="8"/>
      <c r="E996" s="13"/>
    </row>
    <row r="997" spans="1:5" x14ac:dyDescent="0.25">
      <c r="A997" s="12"/>
      <c r="B997" s="8"/>
      <c r="C997" s="8"/>
      <c r="D997" s="8"/>
      <c r="E997" s="13"/>
    </row>
    <row r="998" spans="1:5" x14ac:dyDescent="0.25">
      <c r="A998" s="12"/>
      <c r="B998" s="8"/>
      <c r="C998" s="8"/>
      <c r="D998" s="8"/>
      <c r="E998" s="13"/>
    </row>
    <row r="999" spans="1:5" x14ac:dyDescent="0.25">
      <c r="A999" s="12"/>
      <c r="B999" s="8"/>
      <c r="C999" s="8"/>
      <c r="D999" s="8"/>
      <c r="E999" s="13"/>
    </row>
    <row r="1000" spans="1:5" x14ac:dyDescent="0.25">
      <c r="A1000" s="12"/>
      <c r="B1000" s="8"/>
      <c r="C1000" s="8"/>
      <c r="D1000" s="8"/>
      <c r="E1000" s="13"/>
    </row>
    <row r="1001" spans="1:5" x14ac:dyDescent="0.25">
      <c r="A1001" s="12"/>
      <c r="B1001" s="8"/>
      <c r="C1001" s="8"/>
      <c r="D1001" s="8"/>
      <c r="E1001" s="13"/>
    </row>
    <row r="1002" spans="1:5" x14ac:dyDescent="0.25">
      <c r="A1002" s="12"/>
      <c r="B1002" s="8"/>
      <c r="C1002" s="8"/>
      <c r="D1002" s="8"/>
      <c r="E1002" s="13"/>
    </row>
    <row r="1003" spans="1:5" x14ac:dyDescent="0.25">
      <c r="A1003" s="12"/>
      <c r="B1003" s="8"/>
      <c r="C1003" s="8"/>
      <c r="D1003" s="8"/>
      <c r="E1003" s="13"/>
    </row>
    <row r="1004" spans="1:5" x14ac:dyDescent="0.25">
      <c r="A1004" s="12"/>
      <c r="B1004" s="8"/>
      <c r="C1004" s="8"/>
      <c r="D1004" s="8"/>
      <c r="E1004" s="13"/>
    </row>
  </sheetData>
  <dataValidations count="4">
    <dataValidation type="date" operator="greaterThan" allowBlank="1" showErrorMessage="1" errorTitle="Tanggal tidak valid" error="Isi tanggal, misalnya 15/11/2026." sqref="A5:A1004">
      <formula1>36526</formula1>
    </dataValidation>
    <dataValidation type="list" allowBlank="1" sqref="C5:C1004">
      <formula1>Daftar!$B$5:$B$19</formula1>
    </dataValidation>
    <dataValidation type="list" allowBlank="1" showErrorMessage="1" errorTitle="Pilih salah satu" error="Pilih Usaha atau Prive." sqref="D5:D1004">
      <formula1>"Usaha,Prive"</formula1>
    </dataValidation>
    <dataValidation type="decimal" operator="greaterThanOrEqual" allowBlank="1" showErrorMessage="1" errorTitle="Jumlah tidak valid" error="Isi angka tanpa tanda minus. Uang keluar dicatat di lembar Kas Keluar." sqref="E5:E100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6BFF"/>
  </sheetPr>
  <dimension ref="A1:F38"/>
  <sheetFormatPr defaultRowHeight="15" outlineLevelRow="0" outlineLevelCol="0" x14ac:dyDescent="55"/>
  <cols>
    <col min="1" max="1" width="26" customWidth="1"/>
    <col min="2" max="2" width="20" customWidth="1"/>
    <col min="3" max="3" width="22" customWidth="1"/>
    <col min="4" max="6" width="20" customWidth="1"/>
  </cols>
  <sheetData>
    <row r="1" spans="1:1" x14ac:dyDescent="0.25">
      <c r="A1" s="5" t="s">
        <v>57</v>
      </c>
    </row>
    <row r="2" spans="1:1" x14ac:dyDescent="0.25">
      <c r="A2" s="6" t="s">
        <v>58</v>
      </c>
    </row>
    <row r="3" spans="1:3" x14ac:dyDescent="0.25">
      <c r="A3" s="14" t="s">
        <v>59</v>
      </c>
      <c r="B3" s="8">
        <v>2026</v>
      </c>
      <c r="C3" s="6" t="s">
        <v>60</v>
      </c>
    </row>
    <row r="4" spans="1:3" x14ac:dyDescent="0.25">
      <c r="A4" s="14" t="s">
        <v>61</v>
      </c>
      <c r="B4" s="13">
        <v>0</v>
      </c>
      <c r="C4" s="6" t="s">
        <v>62</v>
      </c>
    </row>
    <row r="6" ht="30" customHeight="1" spans="1:6" x14ac:dyDescent="0.25">
      <c r="A6" s="7" t="s">
        <v>63</v>
      </c>
      <c r="B6" s="7" t="s">
        <v>36</v>
      </c>
      <c r="C6" s="7" t="s">
        <v>64</v>
      </c>
      <c r="D6" s="7" t="s">
        <v>65</v>
      </c>
      <c r="E6" s="7" t="s">
        <v>66</v>
      </c>
      <c r="F6" s="7" t="s">
        <v>67</v>
      </c>
    </row>
    <row r="7" spans="1:6" x14ac:dyDescent="0.25">
      <c r="A7" s="15" t="s">
        <v>68</v>
      </c>
      <c r="B7" s="16">
        <f>SUMIFS('Kas Masuk'!$E$5:$E$1004,'Kas Masuk'!$A$5:$A$1004,"&gt;="&amp;DATE($B$3,1,1),'Kas Masuk'!$A$5:$A$1004,"&lt;"&amp;DATE($B$3,1+1,1))</f>
      </c>
      <c r="C7" s="16">
        <f>SUMIFS('Kas Keluar'!$E$5:$E$1004,'Kas Keluar'!$A$5:$A$1004,"&gt;="&amp;DATE($B$3,1,1),'Kas Keluar'!$A$5:$A$1004,"&lt;"&amp;DATE($B$3,1+1,1),'Kas Keluar'!$D$5:$D$1004,"Usaha")</f>
      </c>
      <c r="D7" s="16">
        <f>B7-C7</f>
      </c>
      <c r="E7" s="16">
        <f>SUMIFS('Kas Keluar'!$E$5:$E$1004,'Kas Keluar'!$A$5:$A$1004,"&gt;="&amp;DATE($B$3,1,1),'Kas Keluar'!$A$5:$A$1004,"&lt;"&amp;DATE($B$3,1+1,1),'Kas Keluar'!$D$5:$D$1004,"Prive")</f>
      </c>
      <c r="F7" s="16">
        <f>$B$4+D7-E7</f>
      </c>
    </row>
    <row r="8" spans="1:6" x14ac:dyDescent="0.25">
      <c r="A8" s="17" t="s">
        <v>69</v>
      </c>
      <c r="B8" s="18">
        <f>SUMIFS('Kas Masuk'!$E$5:$E$1004,'Kas Masuk'!$A$5:$A$1004,"&gt;="&amp;DATE($B$3,2,1),'Kas Masuk'!$A$5:$A$1004,"&lt;"&amp;DATE($B$3,2+1,1))</f>
      </c>
      <c r="C8" s="18">
        <f>SUMIFS('Kas Keluar'!$E$5:$E$1004,'Kas Keluar'!$A$5:$A$1004,"&gt;="&amp;DATE($B$3,2,1),'Kas Keluar'!$A$5:$A$1004,"&lt;"&amp;DATE($B$3,2+1,1),'Kas Keluar'!$D$5:$D$1004,"Usaha")</f>
      </c>
      <c r="D8" s="18">
        <f>B8-C8</f>
      </c>
      <c r="E8" s="18">
        <f>SUMIFS('Kas Keluar'!$E$5:$E$1004,'Kas Keluar'!$A$5:$A$1004,"&gt;="&amp;DATE($B$3,2,1),'Kas Keluar'!$A$5:$A$1004,"&lt;"&amp;DATE($B$3,2+1,1),'Kas Keluar'!$D$5:$D$1004,"Prive")</f>
      </c>
      <c r="F8" s="18">
        <f>F7+D8-E8</f>
      </c>
    </row>
    <row r="9" spans="1:6" x14ac:dyDescent="0.25">
      <c r="A9" s="15" t="s">
        <v>70</v>
      </c>
      <c r="B9" s="16">
        <f>SUMIFS('Kas Masuk'!$E$5:$E$1004,'Kas Masuk'!$A$5:$A$1004,"&gt;="&amp;DATE($B$3,3,1),'Kas Masuk'!$A$5:$A$1004,"&lt;"&amp;DATE($B$3,3+1,1))</f>
      </c>
      <c r="C9" s="16">
        <f>SUMIFS('Kas Keluar'!$E$5:$E$1004,'Kas Keluar'!$A$5:$A$1004,"&gt;="&amp;DATE($B$3,3,1),'Kas Keluar'!$A$5:$A$1004,"&lt;"&amp;DATE($B$3,3+1,1),'Kas Keluar'!$D$5:$D$1004,"Usaha")</f>
      </c>
      <c r="D9" s="16">
        <f>B9-C9</f>
      </c>
      <c r="E9" s="16">
        <f>SUMIFS('Kas Keluar'!$E$5:$E$1004,'Kas Keluar'!$A$5:$A$1004,"&gt;="&amp;DATE($B$3,3,1),'Kas Keluar'!$A$5:$A$1004,"&lt;"&amp;DATE($B$3,3+1,1),'Kas Keluar'!$D$5:$D$1004,"Prive")</f>
      </c>
      <c r="F9" s="16">
        <f>F8+D9-E9</f>
      </c>
    </row>
    <row r="10" spans="1:6" x14ac:dyDescent="0.25">
      <c r="A10" s="17" t="s">
        <v>71</v>
      </c>
      <c r="B10" s="18">
        <f>SUMIFS('Kas Masuk'!$E$5:$E$1004,'Kas Masuk'!$A$5:$A$1004,"&gt;="&amp;DATE($B$3,4,1),'Kas Masuk'!$A$5:$A$1004,"&lt;"&amp;DATE($B$3,4+1,1))</f>
      </c>
      <c r="C10" s="18">
        <f>SUMIFS('Kas Keluar'!$E$5:$E$1004,'Kas Keluar'!$A$5:$A$1004,"&gt;="&amp;DATE($B$3,4,1),'Kas Keluar'!$A$5:$A$1004,"&lt;"&amp;DATE($B$3,4+1,1),'Kas Keluar'!$D$5:$D$1004,"Usaha")</f>
      </c>
      <c r="D10" s="18">
        <f>B10-C10</f>
      </c>
      <c r="E10" s="18">
        <f>SUMIFS('Kas Keluar'!$E$5:$E$1004,'Kas Keluar'!$A$5:$A$1004,"&gt;="&amp;DATE($B$3,4,1),'Kas Keluar'!$A$5:$A$1004,"&lt;"&amp;DATE($B$3,4+1,1),'Kas Keluar'!$D$5:$D$1004,"Prive")</f>
      </c>
      <c r="F10" s="18">
        <f>F9+D10-E10</f>
      </c>
    </row>
    <row r="11" spans="1:6" x14ac:dyDescent="0.25">
      <c r="A11" s="15" t="s">
        <v>72</v>
      </c>
      <c r="B11" s="16">
        <f>SUMIFS('Kas Masuk'!$E$5:$E$1004,'Kas Masuk'!$A$5:$A$1004,"&gt;="&amp;DATE($B$3,5,1),'Kas Masuk'!$A$5:$A$1004,"&lt;"&amp;DATE($B$3,5+1,1))</f>
      </c>
      <c r="C11" s="16">
        <f>SUMIFS('Kas Keluar'!$E$5:$E$1004,'Kas Keluar'!$A$5:$A$1004,"&gt;="&amp;DATE($B$3,5,1),'Kas Keluar'!$A$5:$A$1004,"&lt;"&amp;DATE($B$3,5+1,1),'Kas Keluar'!$D$5:$D$1004,"Usaha")</f>
      </c>
      <c r="D11" s="16">
        <f>B11-C11</f>
      </c>
      <c r="E11" s="16">
        <f>SUMIFS('Kas Keluar'!$E$5:$E$1004,'Kas Keluar'!$A$5:$A$1004,"&gt;="&amp;DATE($B$3,5,1),'Kas Keluar'!$A$5:$A$1004,"&lt;"&amp;DATE($B$3,5+1,1),'Kas Keluar'!$D$5:$D$1004,"Prive")</f>
      </c>
      <c r="F11" s="16">
        <f>F10+D11-E11</f>
      </c>
    </row>
    <row r="12" spans="1:6" x14ac:dyDescent="0.25">
      <c r="A12" s="17" t="s">
        <v>73</v>
      </c>
      <c r="B12" s="18">
        <f>SUMIFS('Kas Masuk'!$E$5:$E$1004,'Kas Masuk'!$A$5:$A$1004,"&gt;="&amp;DATE($B$3,6,1),'Kas Masuk'!$A$5:$A$1004,"&lt;"&amp;DATE($B$3,6+1,1))</f>
      </c>
      <c r="C12" s="18">
        <f>SUMIFS('Kas Keluar'!$E$5:$E$1004,'Kas Keluar'!$A$5:$A$1004,"&gt;="&amp;DATE($B$3,6,1),'Kas Keluar'!$A$5:$A$1004,"&lt;"&amp;DATE($B$3,6+1,1),'Kas Keluar'!$D$5:$D$1004,"Usaha")</f>
      </c>
      <c r="D12" s="18">
        <f>B12-C12</f>
      </c>
      <c r="E12" s="18">
        <f>SUMIFS('Kas Keluar'!$E$5:$E$1004,'Kas Keluar'!$A$5:$A$1004,"&gt;="&amp;DATE($B$3,6,1),'Kas Keluar'!$A$5:$A$1004,"&lt;"&amp;DATE($B$3,6+1,1),'Kas Keluar'!$D$5:$D$1004,"Prive")</f>
      </c>
      <c r="F12" s="18">
        <f>F11+D12-E12</f>
      </c>
    </row>
    <row r="13" spans="1:6" x14ac:dyDescent="0.25">
      <c r="A13" s="15" t="s">
        <v>74</v>
      </c>
      <c r="B13" s="16">
        <f>SUMIFS('Kas Masuk'!$E$5:$E$1004,'Kas Masuk'!$A$5:$A$1004,"&gt;="&amp;DATE($B$3,7,1),'Kas Masuk'!$A$5:$A$1004,"&lt;"&amp;DATE($B$3,7+1,1))</f>
      </c>
      <c r="C13" s="16">
        <f>SUMIFS('Kas Keluar'!$E$5:$E$1004,'Kas Keluar'!$A$5:$A$1004,"&gt;="&amp;DATE($B$3,7,1),'Kas Keluar'!$A$5:$A$1004,"&lt;"&amp;DATE($B$3,7+1,1),'Kas Keluar'!$D$5:$D$1004,"Usaha")</f>
      </c>
      <c r="D13" s="16">
        <f>B13-C13</f>
      </c>
      <c r="E13" s="16">
        <f>SUMIFS('Kas Keluar'!$E$5:$E$1004,'Kas Keluar'!$A$5:$A$1004,"&gt;="&amp;DATE($B$3,7,1),'Kas Keluar'!$A$5:$A$1004,"&lt;"&amp;DATE($B$3,7+1,1),'Kas Keluar'!$D$5:$D$1004,"Prive")</f>
      </c>
      <c r="F13" s="16">
        <f>F12+D13-E13</f>
      </c>
    </row>
    <row r="14" spans="1:6" x14ac:dyDescent="0.25">
      <c r="A14" s="17" t="s">
        <v>75</v>
      </c>
      <c r="B14" s="18">
        <f>SUMIFS('Kas Masuk'!$E$5:$E$1004,'Kas Masuk'!$A$5:$A$1004,"&gt;="&amp;DATE($B$3,8,1),'Kas Masuk'!$A$5:$A$1004,"&lt;"&amp;DATE($B$3,8+1,1))</f>
      </c>
      <c r="C14" s="18">
        <f>SUMIFS('Kas Keluar'!$E$5:$E$1004,'Kas Keluar'!$A$5:$A$1004,"&gt;="&amp;DATE($B$3,8,1),'Kas Keluar'!$A$5:$A$1004,"&lt;"&amp;DATE($B$3,8+1,1),'Kas Keluar'!$D$5:$D$1004,"Usaha")</f>
      </c>
      <c r="D14" s="18">
        <f>B14-C14</f>
      </c>
      <c r="E14" s="18">
        <f>SUMIFS('Kas Keluar'!$E$5:$E$1004,'Kas Keluar'!$A$5:$A$1004,"&gt;="&amp;DATE($B$3,8,1),'Kas Keluar'!$A$5:$A$1004,"&lt;"&amp;DATE($B$3,8+1,1),'Kas Keluar'!$D$5:$D$1004,"Prive")</f>
      </c>
      <c r="F14" s="18">
        <f>F13+D14-E14</f>
      </c>
    </row>
    <row r="15" spans="1:6" x14ac:dyDescent="0.25">
      <c r="A15" s="15" t="s">
        <v>76</v>
      </c>
      <c r="B15" s="16">
        <f>SUMIFS('Kas Masuk'!$E$5:$E$1004,'Kas Masuk'!$A$5:$A$1004,"&gt;="&amp;DATE($B$3,9,1),'Kas Masuk'!$A$5:$A$1004,"&lt;"&amp;DATE($B$3,9+1,1))</f>
      </c>
      <c r="C15" s="16">
        <f>SUMIFS('Kas Keluar'!$E$5:$E$1004,'Kas Keluar'!$A$5:$A$1004,"&gt;="&amp;DATE($B$3,9,1),'Kas Keluar'!$A$5:$A$1004,"&lt;"&amp;DATE($B$3,9+1,1),'Kas Keluar'!$D$5:$D$1004,"Usaha")</f>
      </c>
      <c r="D15" s="16">
        <f>B15-C15</f>
      </c>
      <c r="E15" s="16">
        <f>SUMIFS('Kas Keluar'!$E$5:$E$1004,'Kas Keluar'!$A$5:$A$1004,"&gt;="&amp;DATE($B$3,9,1),'Kas Keluar'!$A$5:$A$1004,"&lt;"&amp;DATE($B$3,9+1,1),'Kas Keluar'!$D$5:$D$1004,"Prive")</f>
      </c>
      <c r="F15" s="16">
        <f>F14+D15-E15</f>
      </c>
    </row>
    <row r="16" spans="1:6" x14ac:dyDescent="0.25">
      <c r="A16" s="17" t="s">
        <v>77</v>
      </c>
      <c r="B16" s="18">
        <f>SUMIFS('Kas Masuk'!$E$5:$E$1004,'Kas Masuk'!$A$5:$A$1004,"&gt;="&amp;DATE($B$3,10,1),'Kas Masuk'!$A$5:$A$1004,"&lt;"&amp;DATE($B$3,10+1,1))</f>
      </c>
      <c r="C16" s="18">
        <f>SUMIFS('Kas Keluar'!$E$5:$E$1004,'Kas Keluar'!$A$5:$A$1004,"&gt;="&amp;DATE($B$3,10,1),'Kas Keluar'!$A$5:$A$1004,"&lt;"&amp;DATE($B$3,10+1,1),'Kas Keluar'!$D$5:$D$1004,"Usaha")</f>
      </c>
      <c r="D16" s="18">
        <f>B16-C16</f>
      </c>
      <c r="E16" s="18">
        <f>SUMIFS('Kas Keluar'!$E$5:$E$1004,'Kas Keluar'!$A$5:$A$1004,"&gt;="&amp;DATE($B$3,10,1),'Kas Keluar'!$A$5:$A$1004,"&lt;"&amp;DATE($B$3,10+1,1),'Kas Keluar'!$D$5:$D$1004,"Prive")</f>
      </c>
      <c r="F16" s="18">
        <f>F15+D16-E16</f>
      </c>
    </row>
    <row r="17" spans="1:6" x14ac:dyDescent="0.25">
      <c r="A17" s="15" t="s">
        <v>78</v>
      </c>
      <c r="B17" s="16">
        <f>SUMIFS('Kas Masuk'!$E$5:$E$1004,'Kas Masuk'!$A$5:$A$1004,"&gt;="&amp;DATE($B$3,11,1),'Kas Masuk'!$A$5:$A$1004,"&lt;"&amp;DATE($B$3,11+1,1))</f>
      </c>
      <c r="C17" s="16">
        <f>SUMIFS('Kas Keluar'!$E$5:$E$1004,'Kas Keluar'!$A$5:$A$1004,"&gt;="&amp;DATE($B$3,11,1),'Kas Keluar'!$A$5:$A$1004,"&lt;"&amp;DATE($B$3,11+1,1),'Kas Keluar'!$D$5:$D$1004,"Usaha")</f>
      </c>
      <c r="D17" s="16">
        <f>B17-C17</f>
      </c>
      <c r="E17" s="16">
        <f>SUMIFS('Kas Keluar'!$E$5:$E$1004,'Kas Keluar'!$A$5:$A$1004,"&gt;="&amp;DATE($B$3,11,1),'Kas Keluar'!$A$5:$A$1004,"&lt;"&amp;DATE($B$3,11+1,1),'Kas Keluar'!$D$5:$D$1004,"Prive")</f>
      </c>
      <c r="F17" s="16">
        <f>F16+D17-E17</f>
      </c>
    </row>
    <row r="18" spans="1:6" x14ac:dyDescent="0.25">
      <c r="A18" s="17" t="s">
        <v>79</v>
      </c>
      <c r="B18" s="18">
        <f>SUMIFS('Kas Masuk'!$E$5:$E$1004,'Kas Masuk'!$A$5:$A$1004,"&gt;="&amp;DATE($B$3,12,1),'Kas Masuk'!$A$5:$A$1004,"&lt;"&amp;DATE($B$3,12+1,1))</f>
      </c>
      <c r="C18" s="18">
        <f>SUMIFS('Kas Keluar'!$E$5:$E$1004,'Kas Keluar'!$A$5:$A$1004,"&gt;="&amp;DATE($B$3,12,1),'Kas Keluar'!$A$5:$A$1004,"&lt;"&amp;DATE($B$3,12+1,1),'Kas Keluar'!$D$5:$D$1004,"Usaha")</f>
      </c>
      <c r="D18" s="18">
        <f>B18-C18</f>
      </c>
      <c r="E18" s="18">
        <f>SUMIFS('Kas Keluar'!$E$5:$E$1004,'Kas Keluar'!$A$5:$A$1004,"&gt;="&amp;DATE($B$3,12,1),'Kas Keluar'!$A$5:$A$1004,"&lt;"&amp;DATE($B$3,12+1,1),'Kas Keluar'!$D$5:$D$1004,"Prive")</f>
      </c>
      <c r="F18" s="18">
        <f>F17+D18-E18</f>
      </c>
    </row>
    <row r="19" spans="1:6" x14ac:dyDescent="0.25">
      <c r="A19" s="19" t="s">
        <v>80</v>
      </c>
      <c r="B19" s="20">
        <f>SUM(B7:B18)</f>
      </c>
      <c r="C19" s="20">
        <f>SUM(C7:C18)</f>
      </c>
      <c r="D19" s="20">
        <f>SUM(D7:D18)</f>
      </c>
      <c r="E19" s="20">
        <f>SUM(E7:E18)</f>
      </c>
      <c r="F19" s="20">
        <f>F18</f>
      </c>
    </row>
    <row r="20" spans="1:6" x14ac:dyDescent="0.25">
      <c r="A20" s="21" t="s">
        <v>81</v>
      </c>
      <c r="B20" s="21"/>
      <c r="C20" s="21"/>
      <c r="D20" s="21"/>
      <c r="E20" s="21"/>
      <c r="F20" s="21"/>
    </row>
    <row r="21" spans="1:6" x14ac:dyDescent="0.25">
      <c r="A21" s="21"/>
      <c r="B21" s="21"/>
      <c r="C21" s="21"/>
      <c r="D21" s="21"/>
      <c r="E21" s="21"/>
      <c r="F21" s="21"/>
    </row>
    <row r="23" ht="30" customHeight="1" spans="1:6" x14ac:dyDescent="0.25">
      <c r="A23" s="7" t="s">
        <v>82</v>
      </c>
      <c r="B23" s="7" t="s">
        <v>83</v>
      </c>
      <c r="C23" s="7" t="s">
        <v>2</v>
      </c>
      <c r="D23" s="7" t="s">
        <v>84</v>
      </c>
      <c r="E23" s="7" t="s">
        <v>83</v>
      </c>
      <c r="F23" s="7" t="s">
        <v>2</v>
      </c>
    </row>
    <row r="24" spans="1:5" x14ac:dyDescent="0.25">
      <c r="A24" s="15">
        <f>IF(Daftar!A5="","",Daftar!A5)</f>
      </c>
      <c r="B24" s="16">
        <f>IF(A24="","",SUMIFS('Kas Masuk'!$E$5:$E$1004,'Kas Masuk'!$C$5:$C$1004,A24,'Kas Masuk'!$A$5:$A$1004,"&gt;="&amp;DATE($B$3,1,1),'Kas Masuk'!$A$5:$A$1004,"&lt;"&amp;DATE($B$3+1,1,1)))</f>
      </c>
      <c r="D24" s="15">
        <f>IF(Daftar!B5="","",Daftar!B5)</f>
      </c>
      <c r="E24" s="16">
        <f>IF(D24="","",SUMIFS('Kas Keluar'!$E$5:$E$1004,'Kas Keluar'!$C$5:$C$1004,D24,'Kas Keluar'!$D$5:$D$1004,"Usaha",'Kas Keluar'!$A$5:$A$1004,"&gt;="&amp;DATE($B$3,1,1),'Kas Keluar'!$A$5:$A$1004,"&lt;"&amp;DATE($B$3+1,1,1)))</f>
      </c>
    </row>
    <row r="25" spans="1:5" x14ac:dyDescent="0.25">
      <c r="A25" s="15">
        <f>IF(Daftar!A6="","",Daftar!A6)</f>
      </c>
      <c r="B25" s="16">
        <f>IF(A25="","",SUMIFS('Kas Masuk'!$E$5:$E$1004,'Kas Masuk'!$C$5:$C$1004,A25,'Kas Masuk'!$A$5:$A$1004,"&gt;="&amp;DATE($B$3,1,1),'Kas Masuk'!$A$5:$A$1004,"&lt;"&amp;DATE($B$3+1,1,1)))</f>
      </c>
      <c r="D25" s="15">
        <f>IF(Daftar!B6="","",Daftar!B6)</f>
      </c>
      <c r="E25" s="16">
        <f>IF(D25="","",SUMIFS('Kas Keluar'!$E$5:$E$1004,'Kas Keluar'!$C$5:$C$1004,D25,'Kas Keluar'!$D$5:$D$1004,"Usaha",'Kas Keluar'!$A$5:$A$1004,"&gt;="&amp;DATE($B$3,1,1),'Kas Keluar'!$A$5:$A$1004,"&lt;"&amp;DATE($B$3+1,1,1)))</f>
      </c>
    </row>
    <row r="26" spans="1:5" x14ac:dyDescent="0.25">
      <c r="A26" s="15">
        <f>IF(Daftar!A7="","",Daftar!A7)</f>
      </c>
      <c r="B26" s="16">
        <f>IF(A26="","",SUMIFS('Kas Masuk'!$E$5:$E$1004,'Kas Masuk'!$C$5:$C$1004,A26,'Kas Masuk'!$A$5:$A$1004,"&gt;="&amp;DATE($B$3,1,1),'Kas Masuk'!$A$5:$A$1004,"&lt;"&amp;DATE($B$3+1,1,1)))</f>
      </c>
      <c r="D26" s="15">
        <f>IF(Daftar!B7="","",Daftar!B7)</f>
      </c>
      <c r="E26" s="16">
        <f>IF(D26="","",SUMIFS('Kas Keluar'!$E$5:$E$1004,'Kas Keluar'!$C$5:$C$1004,D26,'Kas Keluar'!$D$5:$D$1004,"Usaha",'Kas Keluar'!$A$5:$A$1004,"&gt;="&amp;DATE($B$3,1,1),'Kas Keluar'!$A$5:$A$1004,"&lt;"&amp;DATE($B$3+1,1,1)))</f>
      </c>
    </row>
    <row r="27" spans="1:5" x14ac:dyDescent="0.25">
      <c r="A27" s="15">
        <f>IF(Daftar!A8="","",Daftar!A8)</f>
      </c>
      <c r="B27" s="16">
        <f>IF(A27="","",SUMIFS('Kas Masuk'!$E$5:$E$1004,'Kas Masuk'!$C$5:$C$1004,A27,'Kas Masuk'!$A$5:$A$1004,"&gt;="&amp;DATE($B$3,1,1),'Kas Masuk'!$A$5:$A$1004,"&lt;"&amp;DATE($B$3+1,1,1)))</f>
      </c>
      <c r="D27" s="15">
        <f>IF(Daftar!B8="","",Daftar!B8)</f>
      </c>
      <c r="E27" s="16">
        <f>IF(D27="","",SUMIFS('Kas Keluar'!$E$5:$E$1004,'Kas Keluar'!$C$5:$C$1004,D27,'Kas Keluar'!$D$5:$D$1004,"Usaha",'Kas Keluar'!$A$5:$A$1004,"&gt;="&amp;DATE($B$3,1,1),'Kas Keluar'!$A$5:$A$1004,"&lt;"&amp;DATE($B$3+1,1,1)))</f>
      </c>
    </row>
    <row r="28" spans="1:5" x14ac:dyDescent="0.25">
      <c r="A28" s="15">
        <f>IF(Daftar!A9="","",Daftar!A9)</f>
      </c>
      <c r="B28" s="16">
        <f>IF(A28="","",SUMIFS('Kas Masuk'!$E$5:$E$1004,'Kas Masuk'!$C$5:$C$1004,A28,'Kas Masuk'!$A$5:$A$1004,"&gt;="&amp;DATE($B$3,1,1),'Kas Masuk'!$A$5:$A$1004,"&lt;"&amp;DATE($B$3+1,1,1)))</f>
      </c>
      <c r="D28" s="15">
        <f>IF(Daftar!B9="","",Daftar!B9)</f>
      </c>
      <c r="E28" s="16">
        <f>IF(D28="","",SUMIFS('Kas Keluar'!$E$5:$E$1004,'Kas Keluar'!$C$5:$C$1004,D28,'Kas Keluar'!$D$5:$D$1004,"Usaha",'Kas Keluar'!$A$5:$A$1004,"&gt;="&amp;DATE($B$3,1,1),'Kas Keluar'!$A$5:$A$1004,"&lt;"&amp;DATE($B$3+1,1,1)))</f>
      </c>
    </row>
    <row r="29" spans="1:5" x14ac:dyDescent="0.25">
      <c r="A29" s="15">
        <f>IF(Daftar!A10="","",Daftar!A10)</f>
      </c>
      <c r="B29" s="16">
        <f>IF(A29="","",SUMIFS('Kas Masuk'!$E$5:$E$1004,'Kas Masuk'!$C$5:$C$1004,A29,'Kas Masuk'!$A$5:$A$1004,"&gt;="&amp;DATE($B$3,1,1),'Kas Masuk'!$A$5:$A$1004,"&lt;"&amp;DATE($B$3+1,1,1)))</f>
      </c>
      <c r="D29" s="15">
        <f>IF(Daftar!B10="","",Daftar!B10)</f>
      </c>
      <c r="E29" s="16">
        <f>IF(D29="","",SUMIFS('Kas Keluar'!$E$5:$E$1004,'Kas Keluar'!$C$5:$C$1004,D29,'Kas Keluar'!$D$5:$D$1004,"Usaha",'Kas Keluar'!$A$5:$A$1004,"&gt;="&amp;DATE($B$3,1,1),'Kas Keluar'!$A$5:$A$1004,"&lt;"&amp;DATE($B$3+1,1,1)))</f>
      </c>
    </row>
    <row r="30" spans="1:5" x14ac:dyDescent="0.25">
      <c r="A30" s="15">
        <f>IF(Daftar!A11="","",Daftar!A11)</f>
      </c>
      <c r="B30" s="16">
        <f>IF(A30="","",SUMIFS('Kas Masuk'!$E$5:$E$1004,'Kas Masuk'!$C$5:$C$1004,A30,'Kas Masuk'!$A$5:$A$1004,"&gt;="&amp;DATE($B$3,1,1),'Kas Masuk'!$A$5:$A$1004,"&lt;"&amp;DATE($B$3+1,1,1)))</f>
      </c>
      <c r="D30" s="15">
        <f>IF(Daftar!B11="","",Daftar!B11)</f>
      </c>
      <c r="E30" s="16">
        <f>IF(D30="","",SUMIFS('Kas Keluar'!$E$5:$E$1004,'Kas Keluar'!$C$5:$C$1004,D30,'Kas Keluar'!$D$5:$D$1004,"Usaha",'Kas Keluar'!$A$5:$A$1004,"&gt;="&amp;DATE($B$3,1,1),'Kas Keluar'!$A$5:$A$1004,"&lt;"&amp;DATE($B$3+1,1,1)))</f>
      </c>
    </row>
    <row r="31" spans="1:5" x14ac:dyDescent="0.25">
      <c r="A31" s="15">
        <f>IF(Daftar!A12="","",Daftar!A12)</f>
      </c>
      <c r="B31" s="16">
        <f>IF(A31="","",SUMIFS('Kas Masuk'!$E$5:$E$1004,'Kas Masuk'!$C$5:$C$1004,A31,'Kas Masuk'!$A$5:$A$1004,"&gt;="&amp;DATE($B$3,1,1),'Kas Masuk'!$A$5:$A$1004,"&lt;"&amp;DATE($B$3+1,1,1)))</f>
      </c>
      <c r="D31" s="15">
        <f>IF(Daftar!B12="","",Daftar!B12)</f>
      </c>
      <c r="E31" s="16">
        <f>IF(D31="","",SUMIFS('Kas Keluar'!$E$5:$E$1004,'Kas Keluar'!$C$5:$C$1004,D31,'Kas Keluar'!$D$5:$D$1004,"Usaha",'Kas Keluar'!$A$5:$A$1004,"&gt;="&amp;DATE($B$3,1,1),'Kas Keluar'!$A$5:$A$1004,"&lt;"&amp;DATE($B$3+1,1,1)))</f>
      </c>
    </row>
    <row r="32" spans="1:5" x14ac:dyDescent="0.25">
      <c r="A32" s="15">
        <f>IF(Daftar!A13="","",Daftar!A13)</f>
      </c>
      <c r="B32" s="16">
        <f>IF(A32="","",SUMIFS('Kas Masuk'!$E$5:$E$1004,'Kas Masuk'!$C$5:$C$1004,A32,'Kas Masuk'!$A$5:$A$1004,"&gt;="&amp;DATE($B$3,1,1),'Kas Masuk'!$A$5:$A$1004,"&lt;"&amp;DATE($B$3+1,1,1)))</f>
      </c>
      <c r="D32" s="15">
        <f>IF(Daftar!B13="","",Daftar!B13)</f>
      </c>
      <c r="E32" s="16">
        <f>IF(D32="","",SUMIFS('Kas Keluar'!$E$5:$E$1004,'Kas Keluar'!$C$5:$C$1004,D32,'Kas Keluar'!$D$5:$D$1004,"Usaha",'Kas Keluar'!$A$5:$A$1004,"&gt;="&amp;DATE($B$3,1,1),'Kas Keluar'!$A$5:$A$1004,"&lt;"&amp;DATE($B$3+1,1,1)))</f>
      </c>
    </row>
    <row r="33" spans="1:5" x14ac:dyDescent="0.25">
      <c r="A33" s="15">
        <f>IF(Daftar!A14="","",Daftar!A14)</f>
      </c>
      <c r="B33" s="16">
        <f>IF(A33="","",SUMIFS('Kas Masuk'!$E$5:$E$1004,'Kas Masuk'!$C$5:$C$1004,A33,'Kas Masuk'!$A$5:$A$1004,"&gt;="&amp;DATE($B$3,1,1),'Kas Masuk'!$A$5:$A$1004,"&lt;"&amp;DATE($B$3+1,1,1)))</f>
      </c>
      <c r="D33" s="15">
        <f>IF(Daftar!B14="","",Daftar!B14)</f>
      </c>
      <c r="E33" s="16">
        <f>IF(D33="","",SUMIFS('Kas Keluar'!$E$5:$E$1004,'Kas Keluar'!$C$5:$C$1004,D33,'Kas Keluar'!$D$5:$D$1004,"Usaha",'Kas Keluar'!$A$5:$A$1004,"&gt;="&amp;DATE($B$3,1,1),'Kas Keluar'!$A$5:$A$1004,"&lt;"&amp;DATE($B$3+1,1,1)))</f>
      </c>
    </row>
    <row r="34" spans="1:5" x14ac:dyDescent="0.25">
      <c r="A34" s="15">
        <f>IF(Daftar!A15="","",Daftar!A15)</f>
      </c>
      <c r="B34" s="16">
        <f>IF(A34="","",SUMIFS('Kas Masuk'!$E$5:$E$1004,'Kas Masuk'!$C$5:$C$1004,A34,'Kas Masuk'!$A$5:$A$1004,"&gt;="&amp;DATE($B$3,1,1),'Kas Masuk'!$A$5:$A$1004,"&lt;"&amp;DATE($B$3+1,1,1)))</f>
      </c>
      <c r="D34" s="15">
        <f>IF(Daftar!B15="","",Daftar!B15)</f>
      </c>
      <c r="E34" s="16">
        <f>IF(D34="","",SUMIFS('Kas Keluar'!$E$5:$E$1004,'Kas Keluar'!$C$5:$C$1004,D34,'Kas Keluar'!$D$5:$D$1004,"Usaha",'Kas Keluar'!$A$5:$A$1004,"&gt;="&amp;DATE($B$3,1,1),'Kas Keluar'!$A$5:$A$1004,"&lt;"&amp;DATE($B$3+1,1,1)))</f>
      </c>
    </row>
    <row r="35" spans="1:5" x14ac:dyDescent="0.25">
      <c r="A35" s="15">
        <f>IF(Daftar!A16="","",Daftar!A16)</f>
      </c>
      <c r="B35" s="16">
        <f>IF(A35="","",SUMIFS('Kas Masuk'!$E$5:$E$1004,'Kas Masuk'!$C$5:$C$1004,A35,'Kas Masuk'!$A$5:$A$1004,"&gt;="&amp;DATE($B$3,1,1),'Kas Masuk'!$A$5:$A$1004,"&lt;"&amp;DATE($B$3+1,1,1)))</f>
      </c>
      <c r="D35" s="15">
        <f>IF(Daftar!B16="","",Daftar!B16)</f>
      </c>
      <c r="E35" s="16">
        <f>IF(D35="","",SUMIFS('Kas Keluar'!$E$5:$E$1004,'Kas Keluar'!$C$5:$C$1004,D35,'Kas Keluar'!$D$5:$D$1004,"Usaha",'Kas Keluar'!$A$5:$A$1004,"&gt;="&amp;DATE($B$3,1,1),'Kas Keluar'!$A$5:$A$1004,"&lt;"&amp;DATE($B$3+1,1,1)))</f>
      </c>
    </row>
    <row r="36" spans="1:5" x14ac:dyDescent="0.25">
      <c r="A36" s="15">
        <f>IF(Daftar!A17="","",Daftar!A17)</f>
      </c>
      <c r="B36" s="16">
        <f>IF(A36="","",SUMIFS('Kas Masuk'!$E$5:$E$1004,'Kas Masuk'!$C$5:$C$1004,A36,'Kas Masuk'!$A$5:$A$1004,"&gt;="&amp;DATE($B$3,1,1),'Kas Masuk'!$A$5:$A$1004,"&lt;"&amp;DATE($B$3+1,1,1)))</f>
      </c>
      <c r="D36" s="15">
        <f>IF(Daftar!B17="","",Daftar!B17)</f>
      </c>
      <c r="E36" s="16">
        <f>IF(D36="","",SUMIFS('Kas Keluar'!$E$5:$E$1004,'Kas Keluar'!$C$5:$C$1004,D36,'Kas Keluar'!$D$5:$D$1004,"Usaha",'Kas Keluar'!$A$5:$A$1004,"&gt;="&amp;DATE($B$3,1,1),'Kas Keluar'!$A$5:$A$1004,"&lt;"&amp;DATE($B$3+1,1,1)))</f>
      </c>
    </row>
    <row r="37" spans="1:5" x14ac:dyDescent="0.25">
      <c r="A37" s="15">
        <f>IF(Daftar!A18="","",Daftar!A18)</f>
      </c>
      <c r="B37" s="16">
        <f>IF(A37="","",SUMIFS('Kas Masuk'!$E$5:$E$1004,'Kas Masuk'!$C$5:$C$1004,A37,'Kas Masuk'!$A$5:$A$1004,"&gt;="&amp;DATE($B$3,1,1),'Kas Masuk'!$A$5:$A$1004,"&lt;"&amp;DATE($B$3+1,1,1)))</f>
      </c>
      <c r="D37" s="15">
        <f>IF(Daftar!B18="","",Daftar!B18)</f>
      </c>
      <c r="E37" s="16">
        <f>IF(D37="","",SUMIFS('Kas Keluar'!$E$5:$E$1004,'Kas Keluar'!$C$5:$C$1004,D37,'Kas Keluar'!$D$5:$D$1004,"Usaha",'Kas Keluar'!$A$5:$A$1004,"&gt;="&amp;DATE($B$3,1,1),'Kas Keluar'!$A$5:$A$1004,"&lt;"&amp;DATE($B$3+1,1,1)))</f>
      </c>
    </row>
    <row r="38" spans="1:5" x14ac:dyDescent="0.25">
      <c r="A38" s="15">
        <f>IF(Daftar!A19="","",Daftar!A19)</f>
      </c>
      <c r="B38" s="16">
        <f>IF(A38="","",SUMIFS('Kas Masuk'!$E$5:$E$1004,'Kas Masuk'!$C$5:$C$1004,A38,'Kas Masuk'!$A$5:$A$1004,"&gt;="&amp;DATE($B$3,1,1),'Kas Masuk'!$A$5:$A$1004,"&lt;"&amp;DATE($B$3+1,1,1)))</f>
      </c>
      <c r="D38" s="15">
        <f>IF(Daftar!B19="","",Daftar!B19)</f>
      </c>
      <c r="E38" s="16">
        <f>IF(D38="","",SUMIFS('Kas Keluar'!$E$5:$E$1004,'Kas Keluar'!$C$5:$C$1004,D38,'Kas Keluar'!$D$5:$D$1004,"Usaha",'Kas Keluar'!$A$5:$A$1004,"&gt;="&amp;DATE($B$3,1,1),'Kas Keluar'!$A$5:$A$1004,"&lt;"&amp;DATE($B$3+1,1,1)))</f>
      </c>
    </row>
  </sheetData>
  <mergeCells count="1">
    <mergeCell ref="A20:F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F24"/>
  </sheetPr>
  <dimension ref="A1:I50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1" customWidth="1"/>
    <col min="3" max="3" width="26" customWidth="1"/>
    <col min="4" max="4" width="30" customWidth="1"/>
    <col min="5" max="5" width="16" customWidth="1"/>
    <col min="6" max="6" width="14" customWidth="1"/>
    <col min="7" max="8" width="16" customWidth="1"/>
    <col min="9" max="9" width="14" customWidth="1"/>
  </cols>
  <sheetData>
    <row r="1" spans="1:1" x14ac:dyDescent="0.25">
      <c r="A1" s="5" t="s">
        <v>85</v>
      </c>
    </row>
    <row r="2" spans="1:1" x14ac:dyDescent="0.25">
      <c r="A2" s="6" t="s">
        <v>86</v>
      </c>
    </row>
    <row r="4" spans="1:3" x14ac:dyDescent="0.25">
      <c r="A4" s="14" t="s">
        <v>87</v>
      </c>
      <c r="B4" s="14"/>
      <c r="C4" s="22">
        <f>SUMIFS($H$9:$H$508,$B$9:$B$508,"Piutang")</f>
      </c>
    </row>
    <row r="5" spans="1:3" x14ac:dyDescent="0.25">
      <c r="A5" s="14" t="s">
        <v>88</v>
      </c>
      <c r="B5" s="14"/>
      <c r="C5" s="22">
        <f>SUMIFS($H$9:$H$508,$B$9:$B$508,"Utang")</f>
      </c>
    </row>
    <row r="6" spans="1:3" x14ac:dyDescent="0.25">
      <c r="A6" s="14" t="s">
        <v>89</v>
      </c>
      <c r="B6" s="14"/>
      <c r="C6" s="23">
        <f>COUNTIF($I$9:$I$508,"Terlambat")</f>
      </c>
    </row>
    <row r="8" ht="30" customHeight="1" spans="1:9" x14ac:dyDescent="0.25">
      <c r="A8" s="7" t="s">
        <v>38</v>
      </c>
      <c r="B8" s="7" t="s">
        <v>90</v>
      </c>
      <c r="C8" s="7" t="s">
        <v>91</v>
      </c>
      <c r="D8" s="7" t="s">
        <v>39</v>
      </c>
      <c r="E8" s="7" t="s">
        <v>42</v>
      </c>
      <c r="F8" s="7" t="s">
        <v>92</v>
      </c>
      <c r="G8" s="7" t="s">
        <v>93</v>
      </c>
      <c r="H8" s="7" t="s">
        <v>94</v>
      </c>
      <c r="I8" s="7" t="s">
        <v>95</v>
      </c>
    </row>
    <row r="9" spans="1:9" x14ac:dyDescent="0.25">
      <c r="A9" s="9">
        <v>46330</v>
      </c>
      <c r="B9" s="10" t="s">
        <v>96</v>
      </c>
      <c r="C9" s="10" t="s">
        <v>97</v>
      </c>
      <c r="D9" s="10" t="s">
        <v>98</v>
      </c>
      <c r="E9" s="11">
        <v>600000</v>
      </c>
      <c r="F9" s="9">
        <v>46346</v>
      </c>
      <c r="G9" s="11">
        <v>200000</v>
      </c>
      <c r="H9" s="16">
        <f>IF(E9="","",E9-N(G9))</f>
      </c>
      <c r="I9" s="15">
        <f>IF(E9="","",IF(E9-N(G9)&lt;=0,"Lunas",IF(AND(F9&lt;&gt;"",F9&lt;TODAY()),"Terlambat","Belum lunas")))</f>
      </c>
    </row>
    <row r="10" spans="1:9" x14ac:dyDescent="0.25">
      <c r="A10" s="9">
        <v>46332</v>
      </c>
      <c r="B10" s="10" t="s">
        <v>99</v>
      </c>
      <c r="C10" s="10" t="s">
        <v>100</v>
      </c>
      <c r="D10" s="10" t="s">
        <v>101</v>
      </c>
      <c r="E10" s="11">
        <v>450000</v>
      </c>
      <c r="F10" s="9">
        <v>46351</v>
      </c>
      <c r="G10" s="11">
        <v>0</v>
      </c>
      <c r="H10" s="16">
        <f>IF(E10="","",E10-N(G10))</f>
      </c>
      <c r="I10" s="15">
        <f>IF(E10="","",IF(E10-N(G10)&lt;=0,"Lunas",IF(AND(F10&lt;&gt;"",F10&lt;TODAY()),"Terlambat","Belum lunas")))</f>
      </c>
    </row>
    <row r="11" spans="1:9" x14ac:dyDescent="0.25">
      <c r="A11" s="12"/>
      <c r="B11" s="8"/>
      <c r="C11" s="8"/>
      <c r="D11" s="8"/>
      <c r="E11" s="13"/>
      <c r="F11" s="12"/>
      <c r="G11" s="13"/>
      <c r="H11" s="16">
        <f>IF(E11="","",E11-N(G11))</f>
      </c>
      <c r="I11" s="15">
        <f>IF(E11="","",IF(E11-N(G11)&lt;=0,"Lunas",IF(AND(F11&lt;&gt;"",F11&lt;TODAY()),"Terlambat","Belum lunas")))</f>
      </c>
    </row>
    <row r="12" spans="1:9" x14ac:dyDescent="0.25">
      <c r="A12" s="12"/>
      <c r="B12" s="8"/>
      <c r="C12" s="8"/>
      <c r="D12" s="8"/>
      <c r="E12" s="13"/>
      <c r="F12" s="12"/>
      <c r="G12" s="13"/>
      <c r="H12" s="16">
        <f>IF(E12="","",E12-N(G12))</f>
      </c>
      <c r="I12" s="15">
        <f>IF(E12="","",IF(E12-N(G12)&lt;=0,"Lunas",IF(AND(F12&lt;&gt;"",F12&lt;TODAY()),"Terlambat","Belum lunas")))</f>
      </c>
    </row>
    <row r="13" spans="1:9" x14ac:dyDescent="0.25">
      <c r="A13" s="12"/>
      <c r="B13" s="8"/>
      <c r="C13" s="8"/>
      <c r="D13" s="8"/>
      <c r="E13" s="13"/>
      <c r="F13" s="12"/>
      <c r="G13" s="13"/>
      <c r="H13" s="16">
        <f>IF(E13="","",E13-N(G13))</f>
      </c>
      <c r="I13" s="15">
        <f>IF(E13="","",IF(E13-N(G13)&lt;=0,"Lunas",IF(AND(F13&lt;&gt;"",F13&lt;TODAY()),"Terlambat","Belum lunas")))</f>
      </c>
    </row>
    <row r="14" spans="1:9" x14ac:dyDescent="0.25">
      <c r="A14" s="12"/>
      <c r="B14" s="8"/>
      <c r="C14" s="8"/>
      <c r="D14" s="8"/>
      <c r="E14" s="13"/>
      <c r="F14" s="12"/>
      <c r="G14" s="13"/>
      <c r="H14" s="16">
        <f>IF(E14="","",E14-N(G14))</f>
      </c>
      <c r="I14" s="15">
        <f>IF(E14="","",IF(E14-N(G14)&lt;=0,"Lunas",IF(AND(F14&lt;&gt;"",F14&lt;TODAY()),"Terlambat","Belum lunas")))</f>
      </c>
    </row>
    <row r="15" spans="1:9" x14ac:dyDescent="0.25">
      <c r="A15" s="12"/>
      <c r="B15" s="8"/>
      <c r="C15" s="8"/>
      <c r="D15" s="8"/>
      <c r="E15" s="13"/>
      <c r="F15" s="12"/>
      <c r="G15" s="13"/>
      <c r="H15" s="16">
        <f>IF(E15="","",E15-N(G15))</f>
      </c>
      <c r="I15" s="15">
        <f>IF(E15="","",IF(E15-N(G15)&lt;=0,"Lunas",IF(AND(F15&lt;&gt;"",F15&lt;TODAY()),"Terlambat","Belum lunas")))</f>
      </c>
    </row>
    <row r="16" spans="1:9" x14ac:dyDescent="0.25">
      <c r="A16" s="12"/>
      <c r="B16" s="8"/>
      <c r="C16" s="8"/>
      <c r="D16" s="8"/>
      <c r="E16" s="13"/>
      <c r="F16" s="12"/>
      <c r="G16" s="13"/>
      <c r="H16" s="16">
        <f>IF(E16="","",E16-N(G16))</f>
      </c>
      <c r="I16" s="15">
        <f>IF(E16="","",IF(E16-N(G16)&lt;=0,"Lunas",IF(AND(F16&lt;&gt;"",F16&lt;TODAY()),"Terlambat","Belum lunas")))</f>
      </c>
    </row>
    <row r="17" spans="1:9" x14ac:dyDescent="0.25">
      <c r="A17" s="12"/>
      <c r="B17" s="8"/>
      <c r="C17" s="8"/>
      <c r="D17" s="8"/>
      <c r="E17" s="13"/>
      <c r="F17" s="12"/>
      <c r="G17" s="13"/>
      <c r="H17" s="16">
        <f>IF(E17="","",E17-N(G17))</f>
      </c>
      <c r="I17" s="15">
        <f>IF(E17="","",IF(E17-N(G17)&lt;=0,"Lunas",IF(AND(F17&lt;&gt;"",F17&lt;TODAY()),"Terlambat","Belum lunas")))</f>
      </c>
    </row>
    <row r="18" spans="1:9" x14ac:dyDescent="0.25">
      <c r="A18" s="12"/>
      <c r="B18" s="8"/>
      <c r="C18" s="8"/>
      <c r="D18" s="8"/>
      <c r="E18" s="13"/>
      <c r="F18" s="12"/>
      <c r="G18" s="13"/>
      <c r="H18" s="16">
        <f>IF(E18="","",E18-N(G18))</f>
      </c>
      <c r="I18" s="15">
        <f>IF(E18="","",IF(E18-N(G18)&lt;=0,"Lunas",IF(AND(F18&lt;&gt;"",F18&lt;TODAY()),"Terlambat","Belum lunas")))</f>
      </c>
    </row>
    <row r="19" spans="1:9" x14ac:dyDescent="0.25">
      <c r="A19" s="12"/>
      <c r="B19" s="8"/>
      <c r="C19" s="8"/>
      <c r="D19" s="8"/>
      <c r="E19" s="13"/>
      <c r="F19" s="12"/>
      <c r="G19" s="13"/>
      <c r="H19" s="16">
        <f>IF(E19="","",E19-N(G19))</f>
      </c>
      <c r="I19" s="15">
        <f>IF(E19="","",IF(E19-N(G19)&lt;=0,"Lunas",IF(AND(F19&lt;&gt;"",F19&lt;TODAY()),"Terlambat","Belum lunas")))</f>
      </c>
    </row>
    <row r="20" spans="1:9" x14ac:dyDescent="0.25">
      <c r="A20" s="12"/>
      <c r="B20" s="8"/>
      <c r="C20" s="8"/>
      <c r="D20" s="8"/>
      <c r="E20" s="13"/>
      <c r="F20" s="12"/>
      <c r="G20" s="13"/>
      <c r="H20" s="16">
        <f>IF(E20="","",E20-N(G20))</f>
      </c>
      <c r="I20" s="15">
        <f>IF(E20="","",IF(E20-N(G20)&lt;=0,"Lunas",IF(AND(F20&lt;&gt;"",F20&lt;TODAY()),"Terlambat","Belum lunas")))</f>
      </c>
    </row>
    <row r="21" spans="1:9" x14ac:dyDescent="0.25">
      <c r="A21" s="12"/>
      <c r="B21" s="8"/>
      <c r="C21" s="8"/>
      <c r="D21" s="8"/>
      <c r="E21" s="13"/>
      <c r="F21" s="12"/>
      <c r="G21" s="13"/>
      <c r="H21" s="16">
        <f>IF(E21="","",E21-N(G21))</f>
      </c>
      <c r="I21" s="15">
        <f>IF(E21="","",IF(E21-N(G21)&lt;=0,"Lunas",IF(AND(F21&lt;&gt;"",F21&lt;TODAY()),"Terlambat","Belum lunas")))</f>
      </c>
    </row>
    <row r="22" spans="1:9" x14ac:dyDescent="0.25">
      <c r="A22" s="12"/>
      <c r="B22" s="8"/>
      <c r="C22" s="8"/>
      <c r="D22" s="8"/>
      <c r="E22" s="13"/>
      <c r="F22" s="12"/>
      <c r="G22" s="13"/>
      <c r="H22" s="16">
        <f>IF(E22="","",E22-N(G22))</f>
      </c>
      <c r="I22" s="15">
        <f>IF(E22="","",IF(E22-N(G22)&lt;=0,"Lunas",IF(AND(F22&lt;&gt;"",F22&lt;TODAY()),"Terlambat","Belum lunas")))</f>
      </c>
    </row>
    <row r="23" spans="1:9" x14ac:dyDescent="0.25">
      <c r="A23" s="12"/>
      <c r="B23" s="8"/>
      <c r="C23" s="8"/>
      <c r="D23" s="8"/>
      <c r="E23" s="13"/>
      <c r="F23" s="12"/>
      <c r="G23" s="13"/>
      <c r="H23" s="16">
        <f>IF(E23="","",E23-N(G23))</f>
      </c>
      <c r="I23" s="15">
        <f>IF(E23="","",IF(E23-N(G23)&lt;=0,"Lunas",IF(AND(F23&lt;&gt;"",F23&lt;TODAY()),"Terlambat","Belum lunas")))</f>
      </c>
    </row>
    <row r="24" spans="1:9" x14ac:dyDescent="0.25">
      <c r="A24" s="12"/>
      <c r="B24" s="8"/>
      <c r="C24" s="8"/>
      <c r="D24" s="8"/>
      <c r="E24" s="13"/>
      <c r="F24" s="12"/>
      <c r="G24" s="13"/>
      <c r="H24" s="16">
        <f>IF(E24="","",E24-N(G24))</f>
      </c>
      <c r="I24" s="15">
        <f>IF(E24="","",IF(E24-N(G24)&lt;=0,"Lunas",IF(AND(F24&lt;&gt;"",F24&lt;TODAY()),"Terlambat","Belum lunas")))</f>
      </c>
    </row>
    <row r="25" spans="1:9" x14ac:dyDescent="0.25">
      <c r="A25" s="12"/>
      <c r="B25" s="8"/>
      <c r="C25" s="8"/>
      <c r="D25" s="8"/>
      <c r="E25" s="13"/>
      <c r="F25" s="12"/>
      <c r="G25" s="13"/>
      <c r="H25" s="16">
        <f>IF(E25="","",E25-N(G25))</f>
      </c>
      <c r="I25" s="15">
        <f>IF(E25="","",IF(E25-N(G25)&lt;=0,"Lunas",IF(AND(F25&lt;&gt;"",F25&lt;TODAY()),"Terlambat","Belum lunas")))</f>
      </c>
    </row>
    <row r="26" spans="1:9" x14ac:dyDescent="0.25">
      <c r="A26" s="12"/>
      <c r="B26" s="8"/>
      <c r="C26" s="8"/>
      <c r="D26" s="8"/>
      <c r="E26" s="13"/>
      <c r="F26" s="12"/>
      <c r="G26" s="13"/>
      <c r="H26" s="16">
        <f>IF(E26="","",E26-N(G26))</f>
      </c>
      <c r="I26" s="15">
        <f>IF(E26="","",IF(E26-N(G26)&lt;=0,"Lunas",IF(AND(F26&lt;&gt;"",F26&lt;TODAY()),"Terlambat","Belum lunas")))</f>
      </c>
    </row>
    <row r="27" spans="1:9" x14ac:dyDescent="0.25">
      <c r="A27" s="12"/>
      <c r="B27" s="8"/>
      <c r="C27" s="8"/>
      <c r="D27" s="8"/>
      <c r="E27" s="13"/>
      <c r="F27" s="12"/>
      <c r="G27" s="13"/>
      <c r="H27" s="16">
        <f>IF(E27="","",E27-N(G27))</f>
      </c>
      <c r="I27" s="15">
        <f>IF(E27="","",IF(E27-N(G27)&lt;=0,"Lunas",IF(AND(F27&lt;&gt;"",F27&lt;TODAY()),"Terlambat","Belum lunas")))</f>
      </c>
    </row>
    <row r="28" spans="1:9" x14ac:dyDescent="0.25">
      <c r="A28" s="12"/>
      <c r="B28" s="8"/>
      <c r="C28" s="8"/>
      <c r="D28" s="8"/>
      <c r="E28" s="13"/>
      <c r="F28" s="12"/>
      <c r="G28" s="13"/>
      <c r="H28" s="16">
        <f>IF(E28="","",E28-N(G28))</f>
      </c>
      <c r="I28" s="15">
        <f>IF(E28="","",IF(E28-N(G28)&lt;=0,"Lunas",IF(AND(F28&lt;&gt;"",F28&lt;TODAY()),"Terlambat","Belum lunas")))</f>
      </c>
    </row>
    <row r="29" spans="1:9" x14ac:dyDescent="0.25">
      <c r="A29" s="12"/>
      <c r="B29" s="8"/>
      <c r="C29" s="8"/>
      <c r="D29" s="8"/>
      <c r="E29" s="13"/>
      <c r="F29" s="12"/>
      <c r="G29" s="13"/>
      <c r="H29" s="16">
        <f>IF(E29="","",E29-N(G29))</f>
      </c>
      <c r="I29" s="15">
        <f>IF(E29="","",IF(E29-N(G29)&lt;=0,"Lunas",IF(AND(F29&lt;&gt;"",F29&lt;TODAY()),"Terlambat","Belum lunas")))</f>
      </c>
    </row>
    <row r="30" spans="1:9" x14ac:dyDescent="0.25">
      <c r="A30" s="12"/>
      <c r="B30" s="8"/>
      <c r="C30" s="8"/>
      <c r="D30" s="8"/>
      <c r="E30" s="13"/>
      <c r="F30" s="12"/>
      <c r="G30" s="13"/>
      <c r="H30" s="16">
        <f>IF(E30="","",E30-N(G30))</f>
      </c>
      <c r="I30" s="15">
        <f>IF(E30="","",IF(E30-N(G30)&lt;=0,"Lunas",IF(AND(F30&lt;&gt;"",F30&lt;TODAY()),"Terlambat","Belum lunas")))</f>
      </c>
    </row>
    <row r="31" spans="1:9" x14ac:dyDescent="0.25">
      <c r="A31" s="12"/>
      <c r="B31" s="8"/>
      <c r="C31" s="8"/>
      <c r="D31" s="8"/>
      <c r="E31" s="13"/>
      <c r="F31" s="12"/>
      <c r="G31" s="13"/>
      <c r="H31" s="16">
        <f>IF(E31="","",E31-N(G31))</f>
      </c>
      <c r="I31" s="15">
        <f>IF(E31="","",IF(E31-N(G31)&lt;=0,"Lunas",IF(AND(F31&lt;&gt;"",F31&lt;TODAY()),"Terlambat","Belum lunas")))</f>
      </c>
    </row>
    <row r="32" spans="1:9" x14ac:dyDescent="0.25">
      <c r="A32" s="12"/>
      <c r="B32" s="8"/>
      <c r="C32" s="8"/>
      <c r="D32" s="8"/>
      <c r="E32" s="13"/>
      <c r="F32" s="12"/>
      <c r="G32" s="13"/>
      <c r="H32" s="16">
        <f>IF(E32="","",E32-N(G32))</f>
      </c>
      <c r="I32" s="15">
        <f>IF(E32="","",IF(E32-N(G32)&lt;=0,"Lunas",IF(AND(F32&lt;&gt;"",F32&lt;TODAY()),"Terlambat","Belum lunas")))</f>
      </c>
    </row>
    <row r="33" spans="1:9" x14ac:dyDescent="0.25">
      <c r="A33" s="12"/>
      <c r="B33" s="8"/>
      <c r="C33" s="8"/>
      <c r="D33" s="8"/>
      <c r="E33" s="13"/>
      <c r="F33" s="12"/>
      <c r="G33" s="13"/>
      <c r="H33" s="16">
        <f>IF(E33="","",E33-N(G33))</f>
      </c>
      <c r="I33" s="15">
        <f>IF(E33="","",IF(E33-N(G33)&lt;=0,"Lunas",IF(AND(F33&lt;&gt;"",F33&lt;TODAY()),"Terlambat","Belum lunas")))</f>
      </c>
    </row>
    <row r="34" spans="1:9" x14ac:dyDescent="0.25">
      <c r="A34" s="12"/>
      <c r="B34" s="8"/>
      <c r="C34" s="8"/>
      <c r="D34" s="8"/>
      <c r="E34" s="13"/>
      <c r="F34" s="12"/>
      <c r="G34" s="13"/>
      <c r="H34" s="16">
        <f>IF(E34="","",E34-N(G34))</f>
      </c>
      <c r="I34" s="15">
        <f>IF(E34="","",IF(E34-N(G34)&lt;=0,"Lunas",IF(AND(F34&lt;&gt;"",F34&lt;TODAY()),"Terlambat","Belum lunas")))</f>
      </c>
    </row>
    <row r="35" spans="1:9" x14ac:dyDescent="0.25">
      <c r="A35" s="12"/>
      <c r="B35" s="8"/>
      <c r="C35" s="8"/>
      <c r="D35" s="8"/>
      <c r="E35" s="13"/>
      <c r="F35" s="12"/>
      <c r="G35" s="13"/>
      <c r="H35" s="16">
        <f>IF(E35="","",E35-N(G35))</f>
      </c>
      <c r="I35" s="15">
        <f>IF(E35="","",IF(E35-N(G35)&lt;=0,"Lunas",IF(AND(F35&lt;&gt;"",F35&lt;TODAY()),"Terlambat","Belum lunas")))</f>
      </c>
    </row>
    <row r="36" spans="1:9" x14ac:dyDescent="0.25">
      <c r="A36" s="12"/>
      <c r="B36" s="8"/>
      <c r="C36" s="8"/>
      <c r="D36" s="8"/>
      <c r="E36" s="13"/>
      <c r="F36" s="12"/>
      <c r="G36" s="13"/>
      <c r="H36" s="16">
        <f>IF(E36="","",E36-N(G36))</f>
      </c>
      <c r="I36" s="15">
        <f>IF(E36="","",IF(E36-N(G36)&lt;=0,"Lunas",IF(AND(F36&lt;&gt;"",F36&lt;TODAY()),"Terlambat","Belum lunas")))</f>
      </c>
    </row>
    <row r="37" spans="1:9" x14ac:dyDescent="0.25">
      <c r="A37" s="12"/>
      <c r="B37" s="8"/>
      <c r="C37" s="8"/>
      <c r="D37" s="8"/>
      <c r="E37" s="13"/>
      <c r="F37" s="12"/>
      <c r="G37" s="13"/>
      <c r="H37" s="16">
        <f>IF(E37="","",E37-N(G37))</f>
      </c>
      <c r="I37" s="15">
        <f>IF(E37="","",IF(E37-N(G37)&lt;=0,"Lunas",IF(AND(F37&lt;&gt;"",F37&lt;TODAY()),"Terlambat","Belum lunas")))</f>
      </c>
    </row>
    <row r="38" spans="1:9" x14ac:dyDescent="0.25">
      <c r="A38" s="12"/>
      <c r="B38" s="8"/>
      <c r="C38" s="8"/>
      <c r="D38" s="8"/>
      <c r="E38" s="13"/>
      <c r="F38" s="12"/>
      <c r="G38" s="13"/>
      <c r="H38" s="16">
        <f>IF(E38="","",E38-N(G38))</f>
      </c>
      <c r="I38" s="15">
        <f>IF(E38="","",IF(E38-N(G38)&lt;=0,"Lunas",IF(AND(F38&lt;&gt;"",F38&lt;TODAY()),"Terlambat","Belum lunas")))</f>
      </c>
    </row>
    <row r="39" spans="1:9" x14ac:dyDescent="0.25">
      <c r="A39" s="12"/>
      <c r="B39" s="8"/>
      <c r="C39" s="8"/>
      <c r="D39" s="8"/>
      <c r="E39" s="13"/>
      <c r="F39" s="12"/>
      <c r="G39" s="13"/>
      <c r="H39" s="16">
        <f>IF(E39="","",E39-N(G39))</f>
      </c>
      <c r="I39" s="15">
        <f>IF(E39="","",IF(E39-N(G39)&lt;=0,"Lunas",IF(AND(F39&lt;&gt;"",F39&lt;TODAY()),"Terlambat","Belum lunas")))</f>
      </c>
    </row>
    <row r="40" spans="1:9" x14ac:dyDescent="0.25">
      <c r="A40" s="12"/>
      <c r="B40" s="8"/>
      <c r="C40" s="8"/>
      <c r="D40" s="8"/>
      <c r="E40" s="13"/>
      <c r="F40" s="12"/>
      <c r="G40" s="13"/>
      <c r="H40" s="16">
        <f>IF(E40="","",E40-N(G40))</f>
      </c>
      <c r="I40" s="15">
        <f>IF(E40="","",IF(E40-N(G40)&lt;=0,"Lunas",IF(AND(F40&lt;&gt;"",F40&lt;TODAY()),"Terlambat","Belum lunas")))</f>
      </c>
    </row>
    <row r="41" spans="1:9" x14ac:dyDescent="0.25">
      <c r="A41" s="12"/>
      <c r="B41" s="8"/>
      <c r="C41" s="8"/>
      <c r="D41" s="8"/>
      <c r="E41" s="13"/>
      <c r="F41" s="12"/>
      <c r="G41" s="13"/>
      <c r="H41" s="16">
        <f>IF(E41="","",E41-N(G41))</f>
      </c>
      <c r="I41" s="15">
        <f>IF(E41="","",IF(E41-N(G41)&lt;=0,"Lunas",IF(AND(F41&lt;&gt;"",F41&lt;TODAY()),"Terlambat","Belum lunas")))</f>
      </c>
    </row>
    <row r="42" spans="1:9" x14ac:dyDescent="0.25">
      <c r="A42" s="12"/>
      <c r="B42" s="8"/>
      <c r="C42" s="8"/>
      <c r="D42" s="8"/>
      <c r="E42" s="13"/>
      <c r="F42" s="12"/>
      <c r="G42" s="13"/>
      <c r="H42" s="16">
        <f>IF(E42="","",E42-N(G42))</f>
      </c>
      <c r="I42" s="15">
        <f>IF(E42="","",IF(E42-N(G42)&lt;=0,"Lunas",IF(AND(F42&lt;&gt;"",F42&lt;TODAY()),"Terlambat","Belum lunas")))</f>
      </c>
    </row>
    <row r="43" spans="1:9" x14ac:dyDescent="0.25">
      <c r="A43" s="12"/>
      <c r="B43" s="8"/>
      <c r="C43" s="8"/>
      <c r="D43" s="8"/>
      <c r="E43" s="13"/>
      <c r="F43" s="12"/>
      <c r="G43" s="13"/>
      <c r="H43" s="16">
        <f>IF(E43="","",E43-N(G43))</f>
      </c>
      <c r="I43" s="15">
        <f>IF(E43="","",IF(E43-N(G43)&lt;=0,"Lunas",IF(AND(F43&lt;&gt;"",F43&lt;TODAY()),"Terlambat","Belum lunas")))</f>
      </c>
    </row>
    <row r="44" spans="1:9" x14ac:dyDescent="0.25">
      <c r="A44" s="12"/>
      <c r="B44" s="8"/>
      <c r="C44" s="8"/>
      <c r="D44" s="8"/>
      <c r="E44" s="13"/>
      <c r="F44" s="12"/>
      <c r="G44" s="13"/>
      <c r="H44" s="16">
        <f>IF(E44="","",E44-N(G44))</f>
      </c>
      <c r="I44" s="15">
        <f>IF(E44="","",IF(E44-N(G44)&lt;=0,"Lunas",IF(AND(F44&lt;&gt;"",F44&lt;TODAY()),"Terlambat","Belum lunas")))</f>
      </c>
    </row>
    <row r="45" spans="1:9" x14ac:dyDescent="0.25">
      <c r="A45" s="12"/>
      <c r="B45" s="8"/>
      <c r="C45" s="8"/>
      <c r="D45" s="8"/>
      <c r="E45" s="13"/>
      <c r="F45" s="12"/>
      <c r="G45" s="13"/>
      <c r="H45" s="16">
        <f>IF(E45="","",E45-N(G45))</f>
      </c>
      <c r="I45" s="15">
        <f>IF(E45="","",IF(E45-N(G45)&lt;=0,"Lunas",IF(AND(F45&lt;&gt;"",F45&lt;TODAY()),"Terlambat","Belum lunas")))</f>
      </c>
    </row>
    <row r="46" spans="1:9" x14ac:dyDescent="0.25">
      <c r="A46" s="12"/>
      <c r="B46" s="8"/>
      <c r="C46" s="8"/>
      <c r="D46" s="8"/>
      <c r="E46" s="13"/>
      <c r="F46" s="12"/>
      <c r="G46" s="13"/>
      <c r="H46" s="16">
        <f>IF(E46="","",E46-N(G46))</f>
      </c>
      <c r="I46" s="15">
        <f>IF(E46="","",IF(E46-N(G46)&lt;=0,"Lunas",IF(AND(F46&lt;&gt;"",F46&lt;TODAY()),"Terlambat","Belum lunas")))</f>
      </c>
    </row>
    <row r="47" spans="1:9" x14ac:dyDescent="0.25">
      <c r="A47" s="12"/>
      <c r="B47" s="8"/>
      <c r="C47" s="8"/>
      <c r="D47" s="8"/>
      <c r="E47" s="13"/>
      <c r="F47" s="12"/>
      <c r="G47" s="13"/>
      <c r="H47" s="16">
        <f>IF(E47="","",E47-N(G47))</f>
      </c>
      <c r="I47" s="15">
        <f>IF(E47="","",IF(E47-N(G47)&lt;=0,"Lunas",IF(AND(F47&lt;&gt;"",F47&lt;TODAY()),"Terlambat","Belum lunas")))</f>
      </c>
    </row>
    <row r="48" spans="1:9" x14ac:dyDescent="0.25">
      <c r="A48" s="12"/>
      <c r="B48" s="8"/>
      <c r="C48" s="8"/>
      <c r="D48" s="8"/>
      <c r="E48" s="13"/>
      <c r="F48" s="12"/>
      <c r="G48" s="13"/>
      <c r="H48" s="16">
        <f>IF(E48="","",E48-N(G48))</f>
      </c>
      <c r="I48" s="15">
        <f>IF(E48="","",IF(E48-N(G48)&lt;=0,"Lunas",IF(AND(F48&lt;&gt;"",F48&lt;TODAY()),"Terlambat","Belum lunas")))</f>
      </c>
    </row>
    <row r="49" spans="1:9" x14ac:dyDescent="0.25">
      <c r="A49" s="12"/>
      <c r="B49" s="8"/>
      <c r="C49" s="8"/>
      <c r="D49" s="8"/>
      <c r="E49" s="13"/>
      <c r="F49" s="12"/>
      <c r="G49" s="13"/>
      <c r="H49" s="16">
        <f>IF(E49="","",E49-N(G49))</f>
      </c>
      <c r="I49" s="15">
        <f>IF(E49="","",IF(E49-N(G49)&lt;=0,"Lunas",IF(AND(F49&lt;&gt;"",F49&lt;TODAY()),"Terlambat","Belum lunas")))</f>
      </c>
    </row>
    <row r="50" spans="1:9" x14ac:dyDescent="0.25">
      <c r="A50" s="12"/>
      <c r="B50" s="8"/>
      <c r="C50" s="8"/>
      <c r="D50" s="8"/>
      <c r="E50" s="13"/>
      <c r="F50" s="12"/>
      <c r="G50" s="13"/>
      <c r="H50" s="16">
        <f>IF(E50="","",E50-N(G50))</f>
      </c>
      <c r="I50" s="15">
        <f>IF(E50="","",IF(E50-N(G50)&lt;=0,"Lunas",IF(AND(F50&lt;&gt;"",F50&lt;TODAY()),"Terlambat","Belum lunas")))</f>
      </c>
    </row>
    <row r="51" spans="1:9" x14ac:dyDescent="0.25">
      <c r="A51" s="12"/>
      <c r="B51" s="8"/>
      <c r="C51" s="8"/>
      <c r="D51" s="8"/>
      <c r="E51" s="13"/>
      <c r="F51" s="12"/>
      <c r="G51" s="13"/>
      <c r="H51" s="16">
        <f>IF(E51="","",E51-N(G51))</f>
      </c>
      <c r="I51" s="15">
        <f>IF(E51="","",IF(E51-N(G51)&lt;=0,"Lunas",IF(AND(F51&lt;&gt;"",F51&lt;TODAY()),"Terlambat","Belum lunas")))</f>
      </c>
    </row>
    <row r="52" spans="1:9" x14ac:dyDescent="0.25">
      <c r="A52" s="12"/>
      <c r="B52" s="8"/>
      <c r="C52" s="8"/>
      <c r="D52" s="8"/>
      <c r="E52" s="13"/>
      <c r="F52" s="12"/>
      <c r="G52" s="13"/>
      <c r="H52" s="16">
        <f>IF(E52="","",E52-N(G52))</f>
      </c>
      <c r="I52" s="15">
        <f>IF(E52="","",IF(E52-N(G52)&lt;=0,"Lunas",IF(AND(F52&lt;&gt;"",F52&lt;TODAY()),"Terlambat","Belum lunas")))</f>
      </c>
    </row>
    <row r="53" spans="1:9" x14ac:dyDescent="0.25">
      <c r="A53" s="12"/>
      <c r="B53" s="8"/>
      <c r="C53" s="8"/>
      <c r="D53" s="8"/>
      <c r="E53" s="13"/>
      <c r="F53" s="12"/>
      <c r="G53" s="13"/>
      <c r="H53" s="16">
        <f>IF(E53="","",E53-N(G53))</f>
      </c>
      <c r="I53" s="15">
        <f>IF(E53="","",IF(E53-N(G53)&lt;=0,"Lunas",IF(AND(F53&lt;&gt;"",F53&lt;TODAY()),"Terlambat","Belum lunas")))</f>
      </c>
    </row>
    <row r="54" spans="1:9" x14ac:dyDescent="0.25">
      <c r="A54" s="12"/>
      <c r="B54" s="8"/>
      <c r="C54" s="8"/>
      <c r="D54" s="8"/>
      <c r="E54" s="13"/>
      <c r="F54" s="12"/>
      <c r="G54" s="13"/>
      <c r="H54" s="16">
        <f>IF(E54="","",E54-N(G54))</f>
      </c>
      <c r="I54" s="15">
        <f>IF(E54="","",IF(E54-N(G54)&lt;=0,"Lunas",IF(AND(F54&lt;&gt;"",F54&lt;TODAY()),"Terlambat","Belum lunas")))</f>
      </c>
    </row>
    <row r="55" spans="1:9" x14ac:dyDescent="0.25">
      <c r="A55" s="12"/>
      <c r="B55" s="8"/>
      <c r="C55" s="8"/>
      <c r="D55" s="8"/>
      <c r="E55" s="13"/>
      <c r="F55" s="12"/>
      <c r="G55" s="13"/>
      <c r="H55" s="16">
        <f>IF(E55="","",E55-N(G55))</f>
      </c>
      <c r="I55" s="15">
        <f>IF(E55="","",IF(E55-N(G55)&lt;=0,"Lunas",IF(AND(F55&lt;&gt;"",F55&lt;TODAY()),"Terlambat","Belum lunas")))</f>
      </c>
    </row>
    <row r="56" spans="1:9" x14ac:dyDescent="0.25">
      <c r="A56" s="12"/>
      <c r="B56" s="8"/>
      <c r="C56" s="8"/>
      <c r="D56" s="8"/>
      <c r="E56" s="13"/>
      <c r="F56" s="12"/>
      <c r="G56" s="13"/>
      <c r="H56" s="16">
        <f>IF(E56="","",E56-N(G56))</f>
      </c>
      <c r="I56" s="15">
        <f>IF(E56="","",IF(E56-N(G56)&lt;=0,"Lunas",IF(AND(F56&lt;&gt;"",F56&lt;TODAY()),"Terlambat","Belum lunas")))</f>
      </c>
    </row>
    <row r="57" spans="1:9" x14ac:dyDescent="0.25">
      <c r="A57" s="12"/>
      <c r="B57" s="8"/>
      <c r="C57" s="8"/>
      <c r="D57" s="8"/>
      <c r="E57" s="13"/>
      <c r="F57" s="12"/>
      <c r="G57" s="13"/>
      <c r="H57" s="16">
        <f>IF(E57="","",E57-N(G57))</f>
      </c>
      <c r="I57" s="15">
        <f>IF(E57="","",IF(E57-N(G57)&lt;=0,"Lunas",IF(AND(F57&lt;&gt;"",F57&lt;TODAY()),"Terlambat","Belum lunas")))</f>
      </c>
    </row>
    <row r="58" spans="1:9" x14ac:dyDescent="0.25">
      <c r="A58" s="12"/>
      <c r="B58" s="8"/>
      <c r="C58" s="8"/>
      <c r="D58" s="8"/>
      <c r="E58" s="13"/>
      <c r="F58" s="12"/>
      <c r="G58" s="13"/>
      <c r="H58" s="16">
        <f>IF(E58="","",E58-N(G58))</f>
      </c>
      <c r="I58" s="15">
        <f>IF(E58="","",IF(E58-N(G58)&lt;=0,"Lunas",IF(AND(F58&lt;&gt;"",F58&lt;TODAY()),"Terlambat","Belum lunas")))</f>
      </c>
    </row>
    <row r="59" spans="1:9" x14ac:dyDescent="0.25">
      <c r="A59" s="12"/>
      <c r="B59" s="8"/>
      <c r="C59" s="8"/>
      <c r="D59" s="8"/>
      <c r="E59" s="13"/>
      <c r="F59" s="12"/>
      <c r="G59" s="13"/>
      <c r="H59" s="16">
        <f>IF(E59="","",E59-N(G59))</f>
      </c>
      <c r="I59" s="15">
        <f>IF(E59="","",IF(E59-N(G59)&lt;=0,"Lunas",IF(AND(F59&lt;&gt;"",F59&lt;TODAY()),"Terlambat","Belum lunas")))</f>
      </c>
    </row>
    <row r="60" spans="1:9" x14ac:dyDescent="0.25">
      <c r="A60" s="12"/>
      <c r="B60" s="8"/>
      <c r="C60" s="8"/>
      <c r="D60" s="8"/>
      <c r="E60" s="13"/>
      <c r="F60" s="12"/>
      <c r="G60" s="13"/>
      <c r="H60" s="16">
        <f>IF(E60="","",E60-N(G60))</f>
      </c>
      <c r="I60" s="15">
        <f>IF(E60="","",IF(E60-N(G60)&lt;=0,"Lunas",IF(AND(F60&lt;&gt;"",F60&lt;TODAY()),"Terlambat","Belum lunas")))</f>
      </c>
    </row>
    <row r="61" spans="1:9" x14ac:dyDescent="0.25">
      <c r="A61" s="12"/>
      <c r="B61" s="8"/>
      <c r="C61" s="8"/>
      <c r="D61" s="8"/>
      <c r="E61" s="13"/>
      <c r="F61" s="12"/>
      <c r="G61" s="13"/>
      <c r="H61" s="16">
        <f>IF(E61="","",E61-N(G61))</f>
      </c>
      <c r="I61" s="15">
        <f>IF(E61="","",IF(E61-N(G61)&lt;=0,"Lunas",IF(AND(F61&lt;&gt;"",F61&lt;TODAY()),"Terlambat","Belum lunas")))</f>
      </c>
    </row>
    <row r="62" spans="1:9" x14ac:dyDescent="0.25">
      <c r="A62" s="12"/>
      <c r="B62" s="8"/>
      <c r="C62" s="8"/>
      <c r="D62" s="8"/>
      <c r="E62" s="13"/>
      <c r="F62" s="12"/>
      <c r="G62" s="13"/>
      <c r="H62" s="16">
        <f>IF(E62="","",E62-N(G62))</f>
      </c>
      <c r="I62" s="15">
        <f>IF(E62="","",IF(E62-N(G62)&lt;=0,"Lunas",IF(AND(F62&lt;&gt;"",F62&lt;TODAY()),"Terlambat","Belum lunas")))</f>
      </c>
    </row>
    <row r="63" spans="1:9" x14ac:dyDescent="0.25">
      <c r="A63" s="12"/>
      <c r="B63" s="8"/>
      <c r="C63" s="8"/>
      <c r="D63" s="8"/>
      <c r="E63" s="13"/>
      <c r="F63" s="12"/>
      <c r="G63" s="13"/>
      <c r="H63" s="16">
        <f>IF(E63="","",E63-N(G63))</f>
      </c>
      <c r="I63" s="15">
        <f>IF(E63="","",IF(E63-N(G63)&lt;=0,"Lunas",IF(AND(F63&lt;&gt;"",F63&lt;TODAY()),"Terlambat","Belum lunas")))</f>
      </c>
    </row>
    <row r="64" spans="1:9" x14ac:dyDescent="0.25">
      <c r="A64" s="12"/>
      <c r="B64" s="8"/>
      <c r="C64" s="8"/>
      <c r="D64" s="8"/>
      <c r="E64" s="13"/>
      <c r="F64" s="12"/>
      <c r="G64" s="13"/>
      <c r="H64" s="16">
        <f>IF(E64="","",E64-N(G64))</f>
      </c>
      <c r="I64" s="15">
        <f>IF(E64="","",IF(E64-N(G64)&lt;=0,"Lunas",IF(AND(F64&lt;&gt;"",F64&lt;TODAY()),"Terlambat","Belum lunas")))</f>
      </c>
    </row>
    <row r="65" spans="1:9" x14ac:dyDescent="0.25">
      <c r="A65" s="12"/>
      <c r="B65" s="8"/>
      <c r="C65" s="8"/>
      <c r="D65" s="8"/>
      <c r="E65" s="13"/>
      <c r="F65" s="12"/>
      <c r="G65" s="13"/>
      <c r="H65" s="16">
        <f>IF(E65="","",E65-N(G65))</f>
      </c>
      <c r="I65" s="15">
        <f>IF(E65="","",IF(E65-N(G65)&lt;=0,"Lunas",IF(AND(F65&lt;&gt;"",F65&lt;TODAY()),"Terlambat","Belum lunas")))</f>
      </c>
    </row>
    <row r="66" spans="1:9" x14ac:dyDescent="0.25">
      <c r="A66" s="12"/>
      <c r="B66" s="8"/>
      <c r="C66" s="8"/>
      <c r="D66" s="8"/>
      <c r="E66" s="13"/>
      <c r="F66" s="12"/>
      <c r="G66" s="13"/>
      <c r="H66" s="16">
        <f>IF(E66="","",E66-N(G66))</f>
      </c>
      <c r="I66" s="15">
        <f>IF(E66="","",IF(E66-N(G66)&lt;=0,"Lunas",IF(AND(F66&lt;&gt;"",F66&lt;TODAY()),"Terlambat","Belum lunas")))</f>
      </c>
    </row>
    <row r="67" spans="1:9" x14ac:dyDescent="0.25">
      <c r="A67" s="12"/>
      <c r="B67" s="8"/>
      <c r="C67" s="8"/>
      <c r="D67" s="8"/>
      <c r="E67" s="13"/>
      <c r="F67" s="12"/>
      <c r="G67" s="13"/>
      <c r="H67" s="16">
        <f>IF(E67="","",E67-N(G67))</f>
      </c>
      <c r="I67" s="15">
        <f>IF(E67="","",IF(E67-N(G67)&lt;=0,"Lunas",IF(AND(F67&lt;&gt;"",F67&lt;TODAY()),"Terlambat","Belum lunas")))</f>
      </c>
    </row>
    <row r="68" spans="1:9" x14ac:dyDescent="0.25">
      <c r="A68" s="12"/>
      <c r="B68" s="8"/>
      <c r="C68" s="8"/>
      <c r="D68" s="8"/>
      <c r="E68" s="13"/>
      <c r="F68" s="12"/>
      <c r="G68" s="13"/>
      <c r="H68" s="16">
        <f>IF(E68="","",E68-N(G68))</f>
      </c>
      <c r="I68" s="15">
        <f>IF(E68="","",IF(E68-N(G68)&lt;=0,"Lunas",IF(AND(F68&lt;&gt;"",F68&lt;TODAY()),"Terlambat","Belum lunas")))</f>
      </c>
    </row>
    <row r="69" spans="1:9" x14ac:dyDescent="0.25">
      <c r="A69" s="12"/>
      <c r="B69" s="8"/>
      <c r="C69" s="8"/>
      <c r="D69" s="8"/>
      <c r="E69" s="13"/>
      <c r="F69" s="12"/>
      <c r="G69" s="13"/>
      <c r="H69" s="16">
        <f>IF(E69="","",E69-N(G69))</f>
      </c>
      <c r="I69" s="15">
        <f>IF(E69="","",IF(E69-N(G69)&lt;=0,"Lunas",IF(AND(F69&lt;&gt;"",F69&lt;TODAY()),"Terlambat","Belum lunas")))</f>
      </c>
    </row>
    <row r="70" spans="1:9" x14ac:dyDescent="0.25">
      <c r="A70" s="12"/>
      <c r="B70" s="8"/>
      <c r="C70" s="8"/>
      <c r="D70" s="8"/>
      <c r="E70" s="13"/>
      <c r="F70" s="12"/>
      <c r="G70" s="13"/>
      <c r="H70" s="16">
        <f>IF(E70="","",E70-N(G70))</f>
      </c>
      <c r="I70" s="15">
        <f>IF(E70="","",IF(E70-N(G70)&lt;=0,"Lunas",IF(AND(F70&lt;&gt;"",F70&lt;TODAY()),"Terlambat","Belum lunas")))</f>
      </c>
    </row>
    <row r="71" spans="1:9" x14ac:dyDescent="0.25">
      <c r="A71" s="12"/>
      <c r="B71" s="8"/>
      <c r="C71" s="8"/>
      <c r="D71" s="8"/>
      <c r="E71" s="13"/>
      <c r="F71" s="12"/>
      <c r="G71" s="13"/>
      <c r="H71" s="16">
        <f>IF(E71="","",E71-N(G71))</f>
      </c>
      <c r="I71" s="15">
        <f>IF(E71="","",IF(E71-N(G71)&lt;=0,"Lunas",IF(AND(F71&lt;&gt;"",F71&lt;TODAY()),"Terlambat","Belum lunas")))</f>
      </c>
    </row>
    <row r="72" spans="1:9" x14ac:dyDescent="0.25">
      <c r="A72" s="12"/>
      <c r="B72" s="8"/>
      <c r="C72" s="8"/>
      <c r="D72" s="8"/>
      <c r="E72" s="13"/>
      <c r="F72" s="12"/>
      <c r="G72" s="13"/>
      <c r="H72" s="16">
        <f>IF(E72="","",E72-N(G72))</f>
      </c>
      <c r="I72" s="15">
        <f>IF(E72="","",IF(E72-N(G72)&lt;=0,"Lunas",IF(AND(F72&lt;&gt;"",F72&lt;TODAY()),"Terlambat","Belum lunas")))</f>
      </c>
    </row>
    <row r="73" spans="1:9" x14ac:dyDescent="0.25">
      <c r="A73" s="12"/>
      <c r="B73" s="8"/>
      <c r="C73" s="8"/>
      <c r="D73" s="8"/>
      <c r="E73" s="13"/>
      <c r="F73" s="12"/>
      <c r="G73" s="13"/>
      <c r="H73" s="16">
        <f>IF(E73="","",E73-N(G73))</f>
      </c>
      <c r="I73" s="15">
        <f>IF(E73="","",IF(E73-N(G73)&lt;=0,"Lunas",IF(AND(F73&lt;&gt;"",F73&lt;TODAY()),"Terlambat","Belum lunas")))</f>
      </c>
    </row>
    <row r="74" spans="1:9" x14ac:dyDescent="0.25">
      <c r="A74" s="12"/>
      <c r="B74" s="8"/>
      <c r="C74" s="8"/>
      <c r="D74" s="8"/>
      <c r="E74" s="13"/>
      <c r="F74" s="12"/>
      <c r="G74" s="13"/>
      <c r="H74" s="16">
        <f>IF(E74="","",E74-N(G74))</f>
      </c>
      <c r="I74" s="15">
        <f>IF(E74="","",IF(E74-N(G74)&lt;=0,"Lunas",IF(AND(F74&lt;&gt;"",F74&lt;TODAY()),"Terlambat","Belum lunas")))</f>
      </c>
    </row>
    <row r="75" spans="1:9" x14ac:dyDescent="0.25">
      <c r="A75" s="12"/>
      <c r="B75" s="8"/>
      <c r="C75" s="8"/>
      <c r="D75" s="8"/>
      <c r="E75" s="13"/>
      <c r="F75" s="12"/>
      <c r="G75" s="13"/>
      <c r="H75" s="16">
        <f>IF(E75="","",E75-N(G75))</f>
      </c>
      <c r="I75" s="15">
        <f>IF(E75="","",IF(E75-N(G75)&lt;=0,"Lunas",IF(AND(F75&lt;&gt;"",F75&lt;TODAY()),"Terlambat","Belum lunas")))</f>
      </c>
    </row>
    <row r="76" spans="1:9" x14ac:dyDescent="0.25">
      <c r="A76" s="12"/>
      <c r="B76" s="8"/>
      <c r="C76" s="8"/>
      <c r="D76" s="8"/>
      <c r="E76" s="13"/>
      <c r="F76" s="12"/>
      <c r="G76" s="13"/>
      <c r="H76" s="16">
        <f>IF(E76="","",E76-N(G76))</f>
      </c>
      <c r="I76" s="15">
        <f>IF(E76="","",IF(E76-N(G76)&lt;=0,"Lunas",IF(AND(F76&lt;&gt;"",F76&lt;TODAY()),"Terlambat","Belum lunas")))</f>
      </c>
    </row>
    <row r="77" spans="1:9" x14ac:dyDescent="0.25">
      <c r="A77" s="12"/>
      <c r="B77" s="8"/>
      <c r="C77" s="8"/>
      <c r="D77" s="8"/>
      <c r="E77" s="13"/>
      <c r="F77" s="12"/>
      <c r="G77" s="13"/>
      <c r="H77" s="16">
        <f>IF(E77="","",E77-N(G77))</f>
      </c>
      <c r="I77" s="15">
        <f>IF(E77="","",IF(E77-N(G77)&lt;=0,"Lunas",IF(AND(F77&lt;&gt;"",F77&lt;TODAY()),"Terlambat","Belum lunas")))</f>
      </c>
    </row>
    <row r="78" spans="1:9" x14ac:dyDescent="0.25">
      <c r="A78" s="12"/>
      <c r="B78" s="8"/>
      <c r="C78" s="8"/>
      <c r="D78" s="8"/>
      <c r="E78" s="13"/>
      <c r="F78" s="12"/>
      <c r="G78" s="13"/>
      <c r="H78" s="16">
        <f>IF(E78="","",E78-N(G78))</f>
      </c>
      <c r="I78" s="15">
        <f>IF(E78="","",IF(E78-N(G78)&lt;=0,"Lunas",IF(AND(F78&lt;&gt;"",F78&lt;TODAY()),"Terlambat","Belum lunas")))</f>
      </c>
    </row>
    <row r="79" spans="1:9" x14ac:dyDescent="0.25">
      <c r="A79" s="12"/>
      <c r="B79" s="8"/>
      <c r="C79" s="8"/>
      <c r="D79" s="8"/>
      <c r="E79" s="13"/>
      <c r="F79" s="12"/>
      <c r="G79" s="13"/>
      <c r="H79" s="16">
        <f>IF(E79="","",E79-N(G79))</f>
      </c>
      <c r="I79" s="15">
        <f>IF(E79="","",IF(E79-N(G79)&lt;=0,"Lunas",IF(AND(F79&lt;&gt;"",F79&lt;TODAY()),"Terlambat","Belum lunas")))</f>
      </c>
    </row>
    <row r="80" spans="1:9" x14ac:dyDescent="0.25">
      <c r="A80" s="12"/>
      <c r="B80" s="8"/>
      <c r="C80" s="8"/>
      <c r="D80" s="8"/>
      <c r="E80" s="13"/>
      <c r="F80" s="12"/>
      <c r="G80" s="13"/>
      <c r="H80" s="16">
        <f>IF(E80="","",E80-N(G80))</f>
      </c>
      <c r="I80" s="15">
        <f>IF(E80="","",IF(E80-N(G80)&lt;=0,"Lunas",IF(AND(F80&lt;&gt;"",F80&lt;TODAY()),"Terlambat","Belum lunas")))</f>
      </c>
    </row>
    <row r="81" spans="1:9" x14ac:dyDescent="0.25">
      <c r="A81" s="12"/>
      <c r="B81" s="8"/>
      <c r="C81" s="8"/>
      <c r="D81" s="8"/>
      <c r="E81" s="13"/>
      <c r="F81" s="12"/>
      <c r="G81" s="13"/>
      <c r="H81" s="16">
        <f>IF(E81="","",E81-N(G81))</f>
      </c>
      <c r="I81" s="15">
        <f>IF(E81="","",IF(E81-N(G81)&lt;=0,"Lunas",IF(AND(F81&lt;&gt;"",F81&lt;TODAY()),"Terlambat","Belum lunas")))</f>
      </c>
    </row>
    <row r="82" spans="1:9" x14ac:dyDescent="0.25">
      <c r="A82" s="12"/>
      <c r="B82" s="8"/>
      <c r="C82" s="8"/>
      <c r="D82" s="8"/>
      <c r="E82" s="13"/>
      <c r="F82" s="12"/>
      <c r="G82" s="13"/>
      <c r="H82" s="16">
        <f>IF(E82="","",E82-N(G82))</f>
      </c>
      <c r="I82" s="15">
        <f>IF(E82="","",IF(E82-N(G82)&lt;=0,"Lunas",IF(AND(F82&lt;&gt;"",F82&lt;TODAY()),"Terlambat","Belum lunas")))</f>
      </c>
    </row>
    <row r="83" spans="1:9" x14ac:dyDescent="0.25">
      <c r="A83" s="12"/>
      <c r="B83" s="8"/>
      <c r="C83" s="8"/>
      <c r="D83" s="8"/>
      <c r="E83" s="13"/>
      <c r="F83" s="12"/>
      <c r="G83" s="13"/>
      <c r="H83" s="16">
        <f>IF(E83="","",E83-N(G83))</f>
      </c>
      <c r="I83" s="15">
        <f>IF(E83="","",IF(E83-N(G83)&lt;=0,"Lunas",IF(AND(F83&lt;&gt;"",F83&lt;TODAY()),"Terlambat","Belum lunas")))</f>
      </c>
    </row>
    <row r="84" spans="1:9" x14ac:dyDescent="0.25">
      <c r="A84" s="12"/>
      <c r="B84" s="8"/>
      <c r="C84" s="8"/>
      <c r="D84" s="8"/>
      <c r="E84" s="13"/>
      <c r="F84" s="12"/>
      <c r="G84" s="13"/>
      <c r="H84" s="16">
        <f>IF(E84="","",E84-N(G84))</f>
      </c>
      <c r="I84" s="15">
        <f>IF(E84="","",IF(E84-N(G84)&lt;=0,"Lunas",IF(AND(F84&lt;&gt;"",F84&lt;TODAY()),"Terlambat","Belum lunas")))</f>
      </c>
    </row>
    <row r="85" spans="1:9" x14ac:dyDescent="0.25">
      <c r="A85" s="12"/>
      <c r="B85" s="8"/>
      <c r="C85" s="8"/>
      <c r="D85" s="8"/>
      <c r="E85" s="13"/>
      <c r="F85" s="12"/>
      <c r="G85" s="13"/>
      <c r="H85" s="16">
        <f>IF(E85="","",E85-N(G85))</f>
      </c>
      <c r="I85" s="15">
        <f>IF(E85="","",IF(E85-N(G85)&lt;=0,"Lunas",IF(AND(F85&lt;&gt;"",F85&lt;TODAY()),"Terlambat","Belum lunas")))</f>
      </c>
    </row>
    <row r="86" spans="1:9" x14ac:dyDescent="0.25">
      <c r="A86" s="12"/>
      <c r="B86" s="8"/>
      <c r="C86" s="8"/>
      <c r="D86" s="8"/>
      <c r="E86" s="13"/>
      <c r="F86" s="12"/>
      <c r="G86" s="13"/>
      <c r="H86" s="16">
        <f>IF(E86="","",E86-N(G86))</f>
      </c>
      <c r="I86" s="15">
        <f>IF(E86="","",IF(E86-N(G86)&lt;=0,"Lunas",IF(AND(F86&lt;&gt;"",F86&lt;TODAY()),"Terlambat","Belum lunas")))</f>
      </c>
    </row>
    <row r="87" spans="1:9" x14ac:dyDescent="0.25">
      <c r="A87" s="12"/>
      <c r="B87" s="8"/>
      <c r="C87" s="8"/>
      <c r="D87" s="8"/>
      <c r="E87" s="13"/>
      <c r="F87" s="12"/>
      <c r="G87" s="13"/>
      <c r="H87" s="16">
        <f>IF(E87="","",E87-N(G87))</f>
      </c>
      <c r="I87" s="15">
        <f>IF(E87="","",IF(E87-N(G87)&lt;=0,"Lunas",IF(AND(F87&lt;&gt;"",F87&lt;TODAY()),"Terlambat","Belum lunas")))</f>
      </c>
    </row>
    <row r="88" spans="1:9" x14ac:dyDescent="0.25">
      <c r="A88" s="12"/>
      <c r="B88" s="8"/>
      <c r="C88" s="8"/>
      <c r="D88" s="8"/>
      <c r="E88" s="13"/>
      <c r="F88" s="12"/>
      <c r="G88" s="13"/>
      <c r="H88" s="16">
        <f>IF(E88="","",E88-N(G88))</f>
      </c>
      <c r="I88" s="15">
        <f>IF(E88="","",IF(E88-N(G88)&lt;=0,"Lunas",IF(AND(F88&lt;&gt;"",F88&lt;TODAY()),"Terlambat","Belum lunas")))</f>
      </c>
    </row>
    <row r="89" spans="1:9" x14ac:dyDescent="0.25">
      <c r="A89" s="12"/>
      <c r="B89" s="8"/>
      <c r="C89" s="8"/>
      <c r="D89" s="8"/>
      <c r="E89" s="13"/>
      <c r="F89" s="12"/>
      <c r="G89" s="13"/>
      <c r="H89" s="16">
        <f>IF(E89="","",E89-N(G89))</f>
      </c>
      <c r="I89" s="15">
        <f>IF(E89="","",IF(E89-N(G89)&lt;=0,"Lunas",IF(AND(F89&lt;&gt;"",F89&lt;TODAY()),"Terlambat","Belum lunas")))</f>
      </c>
    </row>
    <row r="90" spans="1:9" x14ac:dyDescent="0.25">
      <c r="A90" s="12"/>
      <c r="B90" s="8"/>
      <c r="C90" s="8"/>
      <c r="D90" s="8"/>
      <c r="E90" s="13"/>
      <c r="F90" s="12"/>
      <c r="G90" s="13"/>
      <c r="H90" s="16">
        <f>IF(E90="","",E90-N(G90))</f>
      </c>
      <c r="I90" s="15">
        <f>IF(E90="","",IF(E90-N(G90)&lt;=0,"Lunas",IF(AND(F90&lt;&gt;"",F90&lt;TODAY()),"Terlambat","Belum lunas")))</f>
      </c>
    </row>
    <row r="91" spans="1:9" x14ac:dyDescent="0.25">
      <c r="A91" s="12"/>
      <c r="B91" s="8"/>
      <c r="C91" s="8"/>
      <c r="D91" s="8"/>
      <c r="E91" s="13"/>
      <c r="F91" s="12"/>
      <c r="G91" s="13"/>
      <c r="H91" s="16">
        <f>IF(E91="","",E91-N(G91))</f>
      </c>
      <c r="I91" s="15">
        <f>IF(E91="","",IF(E91-N(G91)&lt;=0,"Lunas",IF(AND(F91&lt;&gt;"",F91&lt;TODAY()),"Terlambat","Belum lunas")))</f>
      </c>
    </row>
    <row r="92" spans="1:9" x14ac:dyDescent="0.25">
      <c r="A92" s="12"/>
      <c r="B92" s="8"/>
      <c r="C92" s="8"/>
      <c r="D92" s="8"/>
      <c r="E92" s="13"/>
      <c r="F92" s="12"/>
      <c r="G92" s="13"/>
      <c r="H92" s="16">
        <f>IF(E92="","",E92-N(G92))</f>
      </c>
      <c r="I92" s="15">
        <f>IF(E92="","",IF(E92-N(G92)&lt;=0,"Lunas",IF(AND(F92&lt;&gt;"",F92&lt;TODAY()),"Terlambat","Belum lunas")))</f>
      </c>
    </row>
    <row r="93" spans="1:9" x14ac:dyDescent="0.25">
      <c r="A93" s="12"/>
      <c r="B93" s="8"/>
      <c r="C93" s="8"/>
      <c r="D93" s="8"/>
      <c r="E93" s="13"/>
      <c r="F93" s="12"/>
      <c r="G93" s="13"/>
      <c r="H93" s="16">
        <f>IF(E93="","",E93-N(G93))</f>
      </c>
      <c r="I93" s="15">
        <f>IF(E93="","",IF(E93-N(G93)&lt;=0,"Lunas",IF(AND(F93&lt;&gt;"",F93&lt;TODAY()),"Terlambat","Belum lunas")))</f>
      </c>
    </row>
    <row r="94" spans="1:9" x14ac:dyDescent="0.25">
      <c r="A94" s="12"/>
      <c r="B94" s="8"/>
      <c r="C94" s="8"/>
      <c r="D94" s="8"/>
      <c r="E94" s="13"/>
      <c r="F94" s="12"/>
      <c r="G94" s="13"/>
      <c r="H94" s="16">
        <f>IF(E94="","",E94-N(G94))</f>
      </c>
      <c r="I94" s="15">
        <f>IF(E94="","",IF(E94-N(G94)&lt;=0,"Lunas",IF(AND(F94&lt;&gt;"",F94&lt;TODAY()),"Terlambat","Belum lunas")))</f>
      </c>
    </row>
    <row r="95" spans="1:9" x14ac:dyDescent="0.25">
      <c r="A95" s="12"/>
      <c r="B95" s="8"/>
      <c r="C95" s="8"/>
      <c r="D95" s="8"/>
      <c r="E95" s="13"/>
      <c r="F95" s="12"/>
      <c r="G95" s="13"/>
      <c r="H95" s="16">
        <f>IF(E95="","",E95-N(G95))</f>
      </c>
      <c r="I95" s="15">
        <f>IF(E95="","",IF(E95-N(G95)&lt;=0,"Lunas",IF(AND(F95&lt;&gt;"",F95&lt;TODAY()),"Terlambat","Belum lunas")))</f>
      </c>
    </row>
    <row r="96" spans="1:9" x14ac:dyDescent="0.25">
      <c r="A96" s="12"/>
      <c r="B96" s="8"/>
      <c r="C96" s="8"/>
      <c r="D96" s="8"/>
      <c r="E96" s="13"/>
      <c r="F96" s="12"/>
      <c r="G96" s="13"/>
      <c r="H96" s="16">
        <f>IF(E96="","",E96-N(G96))</f>
      </c>
      <c r="I96" s="15">
        <f>IF(E96="","",IF(E96-N(G96)&lt;=0,"Lunas",IF(AND(F96&lt;&gt;"",F96&lt;TODAY()),"Terlambat","Belum lunas")))</f>
      </c>
    </row>
    <row r="97" spans="1:9" x14ac:dyDescent="0.25">
      <c r="A97" s="12"/>
      <c r="B97" s="8"/>
      <c r="C97" s="8"/>
      <c r="D97" s="8"/>
      <c r="E97" s="13"/>
      <c r="F97" s="12"/>
      <c r="G97" s="13"/>
      <c r="H97" s="16">
        <f>IF(E97="","",E97-N(G97))</f>
      </c>
      <c r="I97" s="15">
        <f>IF(E97="","",IF(E97-N(G97)&lt;=0,"Lunas",IF(AND(F97&lt;&gt;"",F97&lt;TODAY()),"Terlambat","Belum lunas")))</f>
      </c>
    </row>
    <row r="98" spans="1:9" x14ac:dyDescent="0.25">
      <c r="A98" s="12"/>
      <c r="B98" s="8"/>
      <c r="C98" s="8"/>
      <c r="D98" s="8"/>
      <c r="E98" s="13"/>
      <c r="F98" s="12"/>
      <c r="G98" s="13"/>
      <c r="H98" s="16">
        <f>IF(E98="","",E98-N(G98))</f>
      </c>
      <c r="I98" s="15">
        <f>IF(E98="","",IF(E98-N(G98)&lt;=0,"Lunas",IF(AND(F98&lt;&gt;"",F98&lt;TODAY()),"Terlambat","Belum lunas")))</f>
      </c>
    </row>
    <row r="99" spans="1:9" x14ac:dyDescent="0.25">
      <c r="A99" s="12"/>
      <c r="B99" s="8"/>
      <c r="C99" s="8"/>
      <c r="D99" s="8"/>
      <c r="E99" s="13"/>
      <c r="F99" s="12"/>
      <c r="G99" s="13"/>
      <c r="H99" s="16">
        <f>IF(E99="","",E99-N(G99))</f>
      </c>
      <c r="I99" s="15">
        <f>IF(E99="","",IF(E99-N(G99)&lt;=0,"Lunas",IF(AND(F99&lt;&gt;"",F99&lt;TODAY()),"Terlambat","Belum lunas")))</f>
      </c>
    </row>
    <row r="100" spans="1:9" x14ac:dyDescent="0.25">
      <c r="A100" s="12"/>
      <c r="B100" s="8"/>
      <c r="C100" s="8"/>
      <c r="D100" s="8"/>
      <c r="E100" s="13"/>
      <c r="F100" s="12"/>
      <c r="G100" s="13"/>
      <c r="H100" s="16">
        <f>IF(E100="","",E100-N(G100))</f>
      </c>
      <c r="I100" s="15">
        <f>IF(E100="","",IF(E100-N(G100)&lt;=0,"Lunas",IF(AND(F100&lt;&gt;"",F100&lt;TODAY()),"Terlambat","Belum lunas")))</f>
      </c>
    </row>
    <row r="101" spans="1:9" x14ac:dyDescent="0.25">
      <c r="A101" s="12"/>
      <c r="B101" s="8"/>
      <c r="C101" s="8"/>
      <c r="D101" s="8"/>
      <c r="E101" s="13"/>
      <c r="F101" s="12"/>
      <c r="G101" s="13"/>
      <c r="H101" s="16">
        <f>IF(E101="","",E101-N(G101))</f>
      </c>
      <c r="I101" s="15">
        <f>IF(E101="","",IF(E101-N(G101)&lt;=0,"Lunas",IF(AND(F101&lt;&gt;"",F101&lt;TODAY()),"Terlambat","Belum lunas")))</f>
      </c>
    </row>
    <row r="102" spans="1:9" x14ac:dyDescent="0.25">
      <c r="A102" s="12"/>
      <c r="B102" s="8"/>
      <c r="C102" s="8"/>
      <c r="D102" s="8"/>
      <c r="E102" s="13"/>
      <c r="F102" s="12"/>
      <c r="G102" s="13"/>
      <c r="H102" s="16">
        <f>IF(E102="","",E102-N(G102))</f>
      </c>
      <c r="I102" s="15">
        <f>IF(E102="","",IF(E102-N(G102)&lt;=0,"Lunas",IF(AND(F102&lt;&gt;"",F102&lt;TODAY()),"Terlambat","Belum lunas")))</f>
      </c>
    </row>
    <row r="103" spans="1:9" x14ac:dyDescent="0.25">
      <c r="A103" s="12"/>
      <c r="B103" s="8"/>
      <c r="C103" s="8"/>
      <c r="D103" s="8"/>
      <c r="E103" s="13"/>
      <c r="F103" s="12"/>
      <c r="G103" s="13"/>
      <c r="H103" s="16">
        <f>IF(E103="","",E103-N(G103))</f>
      </c>
      <c r="I103" s="15">
        <f>IF(E103="","",IF(E103-N(G103)&lt;=0,"Lunas",IF(AND(F103&lt;&gt;"",F103&lt;TODAY()),"Terlambat","Belum lunas")))</f>
      </c>
    </row>
    <row r="104" spans="1:9" x14ac:dyDescent="0.25">
      <c r="A104" s="12"/>
      <c r="B104" s="8"/>
      <c r="C104" s="8"/>
      <c r="D104" s="8"/>
      <c r="E104" s="13"/>
      <c r="F104" s="12"/>
      <c r="G104" s="13"/>
      <c r="H104" s="16">
        <f>IF(E104="","",E104-N(G104))</f>
      </c>
      <c r="I104" s="15">
        <f>IF(E104="","",IF(E104-N(G104)&lt;=0,"Lunas",IF(AND(F104&lt;&gt;"",F104&lt;TODAY()),"Terlambat","Belum lunas")))</f>
      </c>
    </row>
    <row r="105" spans="1:9" x14ac:dyDescent="0.25">
      <c r="A105" s="12"/>
      <c r="B105" s="8"/>
      <c r="C105" s="8"/>
      <c r="D105" s="8"/>
      <c r="E105" s="13"/>
      <c r="F105" s="12"/>
      <c r="G105" s="13"/>
      <c r="H105" s="16">
        <f>IF(E105="","",E105-N(G105))</f>
      </c>
      <c r="I105" s="15">
        <f>IF(E105="","",IF(E105-N(G105)&lt;=0,"Lunas",IF(AND(F105&lt;&gt;"",F105&lt;TODAY()),"Terlambat","Belum lunas")))</f>
      </c>
    </row>
    <row r="106" spans="1:9" x14ac:dyDescent="0.25">
      <c r="A106" s="12"/>
      <c r="B106" s="8"/>
      <c r="C106" s="8"/>
      <c r="D106" s="8"/>
      <c r="E106" s="13"/>
      <c r="F106" s="12"/>
      <c r="G106" s="13"/>
      <c r="H106" s="16">
        <f>IF(E106="","",E106-N(G106))</f>
      </c>
      <c r="I106" s="15">
        <f>IF(E106="","",IF(E106-N(G106)&lt;=0,"Lunas",IF(AND(F106&lt;&gt;"",F106&lt;TODAY()),"Terlambat","Belum lunas")))</f>
      </c>
    </row>
    <row r="107" spans="1:9" x14ac:dyDescent="0.25">
      <c r="A107" s="12"/>
      <c r="B107" s="8"/>
      <c r="C107" s="8"/>
      <c r="D107" s="8"/>
      <c r="E107" s="13"/>
      <c r="F107" s="12"/>
      <c r="G107" s="13"/>
      <c r="H107" s="16">
        <f>IF(E107="","",E107-N(G107))</f>
      </c>
      <c r="I107" s="15">
        <f>IF(E107="","",IF(E107-N(G107)&lt;=0,"Lunas",IF(AND(F107&lt;&gt;"",F107&lt;TODAY()),"Terlambat","Belum lunas")))</f>
      </c>
    </row>
    <row r="108" spans="1:9" x14ac:dyDescent="0.25">
      <c r="A108" s="12"/>
      <c r="B108" s="8"/>
      <c r="C108" s="8"/>
      <c r="D108" s="8"/>
      <c r="E108" s="13"/>
      <c r="F108" s="12"/>
      <c r="G108" s="13"/>
      <c r="H108" s="16">
        <f>IF(E108="","",E108-N(G108))</f>
      </c>
      <c r="I108" s="15">
        <f>IF(E108="","",IF(E108-N(G108)&lt;=0,"Lunas",IF(AND(F108&lt;&gt;"",F108&lt;TODAY()),"Terlambat","Belum lunas")))</f>
      </c>
    </row>
    <row r="109" spans="1:9" x14ac:dyDescent="0.25">
      <c r="A109" s="12"/>
      <c r="B109" s="8"/>
      <c r="C109" s="8"/>
      <c r="D109" s="8"/>
      <c r="E109" s="13"/>
      <c r="F109" s="12"/>
      <c r="G109" s="13"/>
      <c r="H109" s="16">
        <f>IF(E109="","",E109-N(G109))</f>
      </c>
      <c r="I109" s="15">
        <f>IF(E109="","",IF(E109-N(G109)&lt;=0,"Lunas",IF(AND(F109&lt;&gt;"",F109&lt;TODAY()),"Terlambat","Belum lunas")))</f>
      </c>
    </row>
    <row r="110" spans="1:9" x14ac:dyDescent="0.25">
      <c r="A110" s="12"/>
      <c r="B110" s="8"/>
      <c r="C110" s="8"/>
      <c r="D110" s="8"/>
      <c r="E110" s="13"/>
      <c r="F110" s="12"/>
      <c r="G110" s="13"/>
      <c r="H110" s="16">
        <f>IF(E110="","",E110-N(G110))</f>
      </c>
      <c r="I110" s="15">
        <f>IF(E110="","",IF(E110-N(G110)&lt;=0,"Lunas",IF(AND(F110&lt;&gt;"",F110&lt;TODAY()),"Terlambat","Belum lunas")))</f>
      </c>
    </row>
    <row r="111" spans="1:9" x14ac:dyDescent="0.25">
      <c r="A111" s="12"/>
      <c r="B111" s="8"/>
      <c r="C111" s="8"/>
      <c r="D111" s="8"/>
      <c r="E111" s="13"/>
      <c r="F111" s="12"/>
      <c r="G111" s="13"/>
      <c r="H111" s="16">
        <f>IF(E111="","",E111-N(G111))</f>
      </c>
      <c r="I111" s="15">
        <f>IF(E111="","",IF(E111-N(G111)&lt;=0,"Lunas",IF(AND(F111&lt;&gt;"",F111&lt;TODAY()),"Terlambat","Belum lunas")))</f>
      </c>
    </row>
    <row r="112" spans="1:9" x14ac:dyDescent="0.25">
      <c r="A112" s="12"/>
      <c r="B112" s="8"/>
      <c r="C112" s="8"/>
      <c r="D112" s="8"/>
      <c r="E112" s="13"/>
      <c r="F112" s="12"/>
      <c r="G112" s="13"/>
      <c r="H112" s="16">
        <f>IF(E112="","",E112-N(G112))</f>
      </c>
      <c r="I112" s="15">
        <f>IF(E112="","",IF(E112-N(G112)&lt;=0,"Lunas",IF(AND(F112&lt;&gt;"",F112&lt;TODAY()),"Terlambat","Belum lunas")))</f>
      </c>
    </row>
    <row r="113" spans="1:9" x14ac:dyDescent="0.25">
      <c r="A113" s="12"/>
      <c r="B113" s="8"/>
      <c r="C113" s="8"/>
      <c r="D113" s="8"/>
      <c r="E113" s="13"/>
      <c r="F113" s="12"/>
      <c r="G113" s="13"/>
      <c r="H113" s="16">
        <f>IF(E113="","",E113-N(G113))</f>
      </c>
      <c r="I113" s="15">
        <f>IF(E113="","",IF(E113-N(G113)&lt;=0,"Lunas",IF(AND(F113&lt;&gt;"",F113&lt;TODAY()),"Terlambat","Belum lunas")))</f>
      </c>
    </row>
    <row r="114" spans="1:9" x14ac:dyDescent="0.25">
      <c r="A114" s="12"/>
      <c r="B114" s="8"/>
      <c r="C114" s="8"/>
      <c r="D114" s="8"/>
      <c r="E114" s="13"/>
      <c r="F114" s="12"/>
      <c r="G114" s="13"/>
      <c r="H114" s="16">
        <f>IF(E114="","",E114-N(G114))</f>
      </c>
      <c r="I114" s="15">
        <f>IF(E114="","",IF(E114-N(G114)&lt;=0,"Lunas",IF(AND(F114&lt;&gt;"",F114&lt;TODAY()),"Terlambat","Belum lunas")))</f>
      </c>
    </row>
    <row r="115" spans="1:9" x14ac:dyDescent="0.25">
      <c r="A115" s="12"/>
      <c r="B115" s="8"/>
      <c r="C115" s="8"/>
      <c r="D115" s="8"/>
      <c r="E115" s="13"/>
      <c r="F115" s="12"/>
      <c r="G115" s="13"/>
      <c r="H115" s="16">
        <f>IF(E115="","",E115-N(G115))</f>
      </c>
      <c r="I115" s="15">
        <f>IF(E115="","",IF(E115-N(G115)&lt;=0,"Lunas",IF(AND(F115&lt;&gt;"",F115&lt;TODAY()),"Terlambat","Belum lunas")))</f>
      </c>
    </row>
    <row r="116" spans="1:9" x14ac:dyDescent="0.25">
      <c r="A116" s="12"/>
      <c r="B116" s="8"/>
      <c r="C116" s="8"/>
      <c r="D116" s="8"/>
      <c r="E116" s="13"/>
      <c r="F116" s="12"/>
      <c r="G116" s="13"/>
      <c r="H116" s="16">
        <f>IF(E116="","",E116-N(G116))</f>
      </c>
      <c r="I116" s="15">
        <f>IF(E116="","",IF(E116-N(G116)&lt;=0,"Lunas",IF(AND(F116&lt;&gt;"",F116&lt;TODAY()),"Terlambat","Belum lunas")))</f>
      </c>
    </row>
    <row r="117" spans="1:9" x14ac:dyDescent="0.25">
      <c r="A117" s="12"/>
      <c r="B117" s="8"/>
      <c r="C117" s="8"/>
      <c r="D117" s="8"/>
      <c r="E117" s="13"/>
      <c r="F117" s="12"/>
      <c r="G117" s="13"/>
      <c r="H117" s="16">
        <f>IF(E117="","",E117-N(G117))</f>
      </c>
      <c r="I117" s="15">
        <f>IF(E117="","",IF(E117-N(G117)&lt;=0,"Lunas",IF(AND(F117&lt;&gt;"",F117&lt;TODAY()),"Terlambat","Belum lunas")))</f>
      </c>
    </row>
    <row r="118" spans="1:9" x14ac:dyDescent="0.25">
      <c r="A118" s="12"/>
      <c r="B118" s="8"/>
      <c r="C118" s="8"/>
      <c r="D118" s="8"/>
      <c r="E118" s="13"/>
      <c r="F118" s="12"/>
      <c r="G118" s="13"/>
      <c r="H118" s="16">
        <f>IF(E118="","",E118-N(G118))</f>
      </c>
      <c r="I118" s="15">
        <f>IF(E118="","",IF(E118-N(G118)&lt;=0,"Lunas",IF(AND(F118&lt;&gt;"",F118&lt;TODAY()),"Terlambat","Belum lunas")))</f>
      </c>
    </row>
    <row r="119" spans="1:9" x14ac:dyDescent="0.25">
      <c r="A119" s="12"/>
      <c r="B119" s="8"/>
      <c r="C119" s="8"/>
      <c r="D119" s="8"/>
      <c r="E119" s="13"/>
      <c r="F119" s="12"/>
      <c r="G119" s="13"/>
      <c r="H119" s="16">
        <f>IF(E119="","",E119-N(G119))</f>
      </c>
      <c r="I119" s="15">
        <f>IF(E119="","",IF(E119-N(G119)&lt;=0,"Lunas",IF(AND(F119&lt;&gt;"",F119&lt;TODAY()),"Terlambat","Belum lunas")))</f>
      </c>
    </row>
    <row r="120" spans="1:9" x14ac:dyDescent="0.25">
      <c r="A120" s="12"/>
      <c r="B120" s="8"/>
      <c r="C120" s="8"/>
      <c r="D120" s="8"/>
      <c r="E120" s="13"/>
      <c r="F120" s="12"/>
      <c r="G120" s="13"/>
      <c r="H120" s="16">
        <f>IF(E120="","",E120-N(G120))</f>
      </c>
      <c r="I120" s="15">
        <f>IF(E120="","",IF(E120-N(G120)&lt;=0,"Lunas",IF(AND(F120&lt;&gt;"",F120&lt;TODAY()),"Terlambat","Belum lunas")))</f>
      </c>
    </row>
    <row r="121" spans="1:9" x14ac:dyDescent="0.25">
      <c r="A121" s="12"/>
      <c r="B121" s="8"/>
      <c r="C121" s="8"/>
      <c r="D121" s="8"/>
      <c r="E121" s="13"/>
      <c r="F121" s="12"/>
      <c r="G121" s="13"/>
      <c r="H121" s="16">
        <f>IF(E121="","",E121-N(G121))</f>
      </c>
      <c r="I121" s="15">
        <f>IF(E121="","",IF(E121-N(G121)&lt;=0,"Lunas",IF(AND(F121&lt;&gt;"",F121&lt;TODAY()),"Terlambat","Belum lunas")))</f>
      </c>
    </row>
    <row r="122" spans="1:9" x14ac:dyDescent="0.25">
      <c r="A122" s="12"/>
      <c r="B122" s="8"/>
      <c r="C122" s="8"/>
      <c r="D122" s="8"/>
      <c r="E122" s="13"/>
      <c r="F122" s="12"/>
      <c r="G122" s="13"/>
      <c r="H122" s="16">
        <f>IF(E122="","",E122-N(G122))</f>
      </c>
      <c r="I122" s="15">
        <f>IF(E122="","",IF(E122-N(G122)&lt;=0,"Lunas",IF(AND(F122&lt;&gt;"",F122&lt;TODAY()),"Terlambat","Belum lunas")))</f>
      </c>
    </row>
    <row r="123" spans="1:9" x14ac:dyDescent="0.25">
      <c r="A123" s="12"/>
      <c r="B123" s="8"/>
      <c r="C123" s="8"/>
      <c r="D123" s="8"/>
      <c r="E123" s="13"/>
      <c r="F123" s="12"/>
      <c r="G123" s="13"/>
      <c r="H123" s="16">
        <f>IF(E123="","",E123-N(G123))</f>
      </c>
      <c r="I123" s="15">
        <f>IF(E123="","",IF(E123-N(G123)&lt;=0,"Lunas",IF(AND(F123&lt;&gt;"",F123&lt;TODAY()),"Terlambat","Belum lunas")))</f>
      </c>
    </row>
    <row r="124" spans="1:9" x14ac:dyDescent="0.25">
      <c r="A124" s="12"/>
      <c r="B124" s="8"/>
      <c r="C124" s="8"/>
      <c r="D124" s="8"/>
      <c r="E124" s="13"/>
      <c r="F124" s="12"/>
      <c r="G124" s="13"/>
      <c r="H124" s="16">
        <f>IF(E124="","",E124-N(G124))</f>
      </c>
      <c r="I124" s="15">
        <f>IF(E124="","",IF(E124-N(G124)&lt;=0,"Lunas",IF(AND(F124&lt;&gt;"",F124&lt;TODAY()),"Terlambat","Belum lunas")))</f>
      </c>
    </row>
    <row r="125" spans="1:9" x14ac:dyDescent="0.25">
      <c r="A125" s="12"/>
      <c r="B125" s="8"/>
      <c r="C125" s="8"/>
      <c r="D125" s="8"/>
      <c r="E125" s="13"/>
      <c r="F125" s="12"/>
      <c r="G125" s="13"/>
      <c r="H125" s="16">
        <f>IF(E125="","",E125-N(G125))</f>
      </c>
      <c r="I125" s="15">
        <f>IF(E125="","",IF(E125-N(G125)&lt;=0,"Lunas",IF(AND(F125&lt;&gt;"",F125&lt;TODAY()),"Terlambat","Belum lunas")))</f>
      </c>
    </row>
    <row r="126" spans="1:9" x14ac:dyDescent="0.25">
      <c r="A126" s="12"/>
      <c r="B126" s="8"/>
      <c r="C126" s="8"/>
      <c r="D126" s="8"/>
      <c r="E126" s="13"/>
      <c r="F126" s="12"/>
      <c r="G126" s="13"/>
      <c r="H126" s="16">
        <f>IF(E126="","",E126-N(G126))</f>
      </c>
      <c r="I126" s="15">
        <f>IF(E126="","",IF(E126-N(G126)&lt;=0,"Lunas",IF(AND(F126&lt;&gt;"",F126&lt;TODAY()),"Terlambat","Belum lunas")))</f>
      </c>
    </row>
    <row r="127" spans="1:9" x14ac:dyDescent="0.25">
      <c r="A127" s="12"/>
      <c r="B127" s="8"/>
      <c r="C127" s="8"/>
      <c r="D127" s="8"/>
      <c r="E127" s="13"/>
      <c r="F127" s="12"/>
      <c r="G127" s="13"/>
      <c r="H127" s="16">
        <f>IF(E127="","",E127-N(G127))</f>
      </c>
      <c r="I127" s="15">
        <f>IF(E127="","",IF(E127-N(G127)&lt;=0,"Lunas",IF(AND(F127&lt;&gt;"",F127&lt;TODAY()),"Terlambat","Belum lunas")))</f>
      </c>
    </row>
    <row r="128" spans="1:9" x14ac:dyDescent="0.25">
      <c r="A128" s="12"/>
      <c r="B128" s="8"/>
      <c r="C128" s="8"/>
      <c r="D128" s="8"/>
      <c r="E128" s="13"/>
      <c r="F128" s="12"/>
      <c r="G128" s="13"/>
      <c r="H128" s="16">
        <f>IF(E128="","",E128-N(G128))</f>
      </c>
      <c r="I128" s="15">
        <f>IF(E128="","",IF(E128-N(G128)&lt;=0,"Lunas",IF(AND(F128&lt;&gt;"",F128&lt;TODAY()),"Terlambat","Belum lunas")))</f>
      </c>
    </row>
    <row r="129" spans="1:9" x14ac:dyDescent="0.25">
      <c r="A129" s="12"/>
      <c r="B129" s="8"/>
      <c r="C129" s="8"/>
      <c r="D129" s="8"/>
      <c r="E129" s="13"/>
      <c r="F129" s="12"/>
      <c r="G129" s="13"/>
      <c r="H129" s="16">
        <f>IF(E129="","",E129-N(G129))</f>
      </c>
      <c r="I129" s="15">
        <f>IF(E129="","",IF(E129-N(G129)&lt;=0,"Lunas",IF(AND(F129&lt;&gt;"",F129&lt;TODAY()),"Terlambat","Belum lunas")))</f>
      </c>
    </row>
    <row r="130" spans="1:9" x14ac:dyDescent="0.25">
      <c r="A130" s="12"/>
      <c r="B130" s="8"/>
      <c r="C130" s="8"/>
      <c r="D130" s="8"/>
      <c r="E130" s="13"/>
      <c r="F130" s="12"/>
      <c r="G130" s="13"/>
      <c r="H130" s="16">
        <f>IF(E130="","",E130-N(G130))</f>
      </c>
      <c r="I130" s="15">
        <f>IF(E130="","",IF(E130-N(G130)&lt;=0,"Lunas",IF(AND(F130&lt;&gt;"",F130&lt;TODAY()),"Terlambat","Belum lunas")))</f>
      </c>
    </row>
    <row r="131" spans="1:9" x14ac:dyDescent="0.25">
      <c r="A131" s="12"/>
      <c r="B131" s="8"/>
      <c r="C131" s="8"/>
      <c r="D131" s="8"/>
      <c r="E131" s="13"/>
      <c r="F131" s="12"/>
      <c r="G131" s="13"/>
      <c r="H131" s="16">
        <f>IF(E131="","",E131-N(G131))</f>
      </c>
      <c r="I131" s="15">
        <f>IF(E131="","",IF(E131-N(G131)&lt;=0,"Lunas",IF(AND(F131&lt;&gt;"",F131&lt;TODAY()),"Terlambat","Belum lunas")))</f>
      </c>
    </row>
    <row r="132" spans="1:9" x14ac:dyDescent="0.25">
      <c r="A132" s="12"/>
      <c r="B132" s="8"/>
      <c r="C132" s="8"/>
      <c r="D132" s="8"/>
      <c r="E132" s="13"/>
      <c r="F132" s="12"/>
      <c r="G132" s="13"/>
      <c r="H132" s="16">
        <f>IF(E132="","",E132-N(G132))</f>
      </c>
      <c r="I132" s="15">
        <f>IF(E132="","",IF(E132-N(G132)&lt;=0,"Lunas",IF(AND(F132&lt;&gt;"",F132&lt;TODAY()),"Terlambat","Belum lunas")))</f>
      </c>
    </row>
    <row r="133" spans="1:9" x14ac:dyDescent="0.25">
      <c r="A133" s="12"/>
      <c r="B133" s="8"/>
      <c r="C133" s="8"/>
      <c r="D133" s="8"/>
      <c r="E133" s="13"/>
      <c r="F133" s="12"/>
      <c r="G133" s="13"/>
      <c r="H133" s="16">
        <f>IF(E133="","",E133-N(G133))</f>
      </c>
      <c r="I133" s="15">
        <f>IF(E133="","",IF(E133-N(G133)&lt;=0,"Lunas",IF(AND(F133&lt;&gt;"",F133&lt;TODAY()),"Terlambat","Belum lunas")))</f>
      </c>
    </row>
    <row r="134" spans="1:9" x14ac:dyDescent="0.25">
      <c r="A134" s="12"/>
      <c r="B134" s="8"/>
      <c r="C134" s="8"/>
      <c r="D134" s="8"/>
      <c r="E134" s="13"/>
      <c r="F134" s="12"/>
      <c r="G134" s="13"/>
      <c r="H134" s="16">
        <f>IF(E134="","",E134-N(G134))</f>
      </c>
      <c r="I134" s="15">
        <f>IF(E134="","",IF(E134-N(G134)&lt;=0,"Lunas",IF(AND(F134&lt;&gt;"",F134&lt;TODAY()),"Terlambat","Belum lunas")))</f>
      </c>
    </row>
    <row r="135" spans="1:9" x14ac:dyDescent="0.25">
      <c r="A135" s="12"/>
      <c r="B135" s="8"/>
      <c r="C135" s="8"/>
      <c r="D135" s="8"/>
      <c r="E135" s="13"/>
      <c r="F135" s="12"/>
      <c r="G135" s="13"/>
      <c r="H135" s="16">
        <f>IF(E135="","",E135-N(G135))</f>
      </c>
      <c r="I135" s="15">
        <f>IF(E135="","",IF(E135-N(G135)&lt;=0,"Lunas",IF(AND(F135&lt;&gt;"",F135&lt;TODAY()),"Terlambat","Belum lunas")))</f>
      </c>
    </row>
    <row r="136" spans="1:9" x14ac:dyDescent="0.25">
      <c r="A136" s="12"/>
      <c r="B136" s="8"/>
      <c r="C136" s="8"/>
      <c r="D136" s="8"/>
      <c r="E136" s="13"/>
      <c r="F136" s="12"/>
      <c r="G136" s="13"/>
      <c r="H136" s="16">
        <f>IF(E136="","",E136-N(G136))</f>
      </c>
      <c r="I136" s="15">
        <f>IF(E136="","",IF(E136-N(G136)&lt;=0,"Lunas",IF(AND(F136&lt;&gt;"",F136&lt;TODAY()),"Terlambat","Belum lunas")))</f>
      </c>
    </row>
    <row r="137" spans="1:9" x14ac:dyDescent="0.25">
      <c r="A137" s="12"/>
      <c r="B137" s="8"/>
      <c r="C137" s="8"/>
      <c r="D137" s="8"/>
      <c r="E137" s="13"/>
      <c r="F137" s="12"/>
      <c r="G137" s="13"/>
      <c r="H137" s="16">
        <f>IF(E137="","",E137-N(G137))</f>
      </c>
      <c r="I137" s="15">
        <f>IF(E137="","",IF(E137-N(G137)&lt;=0,"Lunas",IF(AND(F137&lt;&gt;"",F137&lt;TODAY()),"Terlambat","Belum lunas")))</f>
      </c>
    </row>
    <row r="138" spans="1:9" x14ac:dyDescent="0.25">
      <c r="A138" s="12"/>
      <c r="B138" s="8"/>
      <c r="C138" s="8"/>
      <c r="D138" s="8"/>
      <c r="E138" s="13"/>
      <c r="F138" s="12"/>
      <c r="G138" s="13"/>
      <c r="H138" s="16">
        <f>IF(E138="","",E138-N(G138))</f>
      </c>
      <c r="I138" s="15">
        <f>IF(E138="","",IF(E138-N(G138)&lt;=0,"Lunas",IF(AND(F138&lt;&gt;"",F138&lt;TODAY()),"Terlambat","Belum lunas")))</f>
      </c>
    </row>
    <row r="139" spans="1:9" x14ac:dyDescent="0.25">
      <c r="A139" s="12"/>
      <c r="B139" s="8"/>
      <c r="C139" s="8"/>
      <c r="D139" s="8"/>
      <c r="E139" s="13"/>
      <c r="F139" s="12"/>
      <c r="G139" s="13"/>
      <c r="H139" s="16">
        <f>IF(E139="","",E139-N(G139))</f>
      </c>
      <c r="I139" s="15">
        <f>IF(E139="","",IF(E139-N(G139)&lt;=0,"Lunas",IF(AND(F139&lt;&gt;"",F139&lt;TODAY()),"Terlambat","Belum lunas")))</f>
      </c>
    </row>
    <row r="140" spans="1:9" x14ac:dyDescent="0.25">
      <c r="A140" s="12"/>
      <c r="B140" s="8"/>
      <c r="C140" s="8"/>
      <c r="D140" s="8"/>
      <c r="E140" s="13"/>
      <c r="F140" s="12"/>
      <c r="G140" s="13"/>
      <c r="H140" s="16">
        <f>IF(E140="","",E140-N(G140))</f>
      </c>
      <c r="I140" s="15">
        <f>IF(E140="","",IF(E140-N(G140)&lt;=0,"Lunas",IF(AND(F140&lt;&gt;"",F140&lt;TODAY()),"Terlambat","Belum lunas")))</f>
      </c>
    </row>
    <row r="141" spans="1:9" x14ac:dyDescent="0.25">
      <c r="A141" s="12"/>
      <c r="B141" s="8"/>
      <c r="C141" s="8"/>
      <c r="D141" s="8"/>
      <c r="E141" s="13"/>
      <c r="F141" s="12"/>
      <c r="G141" s="13"/>
      <c r="H141" s="16">
        <f>IF(E141="","",E141-N(G141))</f>
      </c>
      <c r="I141" s="15">
        <f>IF(E141="","",IF(E141-N(G141)&lt;=0,"Lunas",IF(AND(F141&lt;&gt;"",F141&lt;TODAY()),"Terlambat","Belum lunas")))</f>
      </c>
    </row>
    <row r="142" spans="1:9" x14ac:dyDescent="0.25">
      <c r="A142" s="12"/>
      <c r="B142" s="8"/>
      <c r="C142" s="8"/>
      <c r="D142" s="8"/>
      <c r="E142" s="13"/>
      <c r="F142" s="12"/>
      <c r="G142" s="13"/>
      <c r="H142" s="16">
        <f>IF(E142="","",E142-N(G142))</f>
      </c>
      <c r="I142" s="15">
        <f>IF(E142="","",IF(E142-N(G142)&lt;=0,"Lunas",IF(AND(F142&lt;&gt;"",F142&lt;TODAY()),"Terlambat","Belum lunas")))</f>
      </c>
    </row>
    <row r="143" spans="1:9" x14ac:dyDescent="0.25">
      <c r="A143" s="12"/>
      <c r="B143" s="8"/>
      <c r="C143" s="8"/>
      <c r="D143" s="8"/>
      <c r="E143" s="13"/>
      <c r="F143" s="12"/>
      <c r="G143" s="13"/>
      <c r="H143" s="16">
        <f>IF(E143="","",E143-N(G143))</f>
      </c>
      <c r="I143" s="15">
        <f>IF(E143="","",IF(E143-N(G143)&lt;=0,"Lunas",IF(AND(F143&lt;&gt;"",F143&lt;TODAY()),"Terlambat","Belum lunas")))</f>
      </c>
    </row>
    <row r="144" spans="1:9" x14ac:dyDescent="0.25">
      <c r="A144" s="12"/>
      <c r="B144" s="8"/>
      <c r="C144" s="8"/>
      <c r="D144" s="8"/>
      <c r="E144" s="13"/>
      <c r="F144" s="12"/>
      <c r="G144" s="13"/>
      <c r="H144" s="16">
        <f>IF(E144="","",E144-N(G144))</f>
      </c>
      <c r="I144" s="15">
        <f>IF(E144="","",IF(E144-N(G144)&lt;=0,"Lunas",IF(AND(F144&lt;&gt;"",F144&lt;TODAY()),"Terlambat","Belum lunas")))</f>
      </c>
    </row>
    <row r="145" spans="1:9" x14ac:dyDescent="0.25">
      <c r="A145" s="12"/>
      <c r="B145" s="8"/>
      <c r="C145" s="8"/>
      <c r="D145" s="8"/>
      <c r="E145" s="13"/>
      <c r="F145" s="12"/>
      <c r="G145" s="13"/>
      <c r="H145" s="16">
        <f>IF(E145="","",E145-N(G145))</f>
      </c>
      <c r="I145" s="15">
        <f>IF(E145="","",IF(E145-N(G145)&lt;=0,"Lunas",IF(AND(F145&lt;&gt;"",F145&lt;TODAY()),"Terlambat","Belum lunas")))</f>
      </c>
    </row>
    <row r="146" spans="1:9" x14ac:dyDescent="0.25">
      <c r="A146" s="12"/>
      <c r="B146" s="8"/>
      <c r="C146" s="8"/>
      <c r="D146" s="8"/>
      <c r="E146" s="13"/>
      <c r="F146" s="12"/>
      <c r="G146" s="13"/>
      <c r="H146" s="16">
        <f>IF(E146="","",E146-N(G146))</f>
      </c>
      <c r="I146" s="15">
        <f>IF(E146="","",IF(E146-N(G146)&lt;=0,"Lunas",IF(AND(F146&lt;&gt;"",F146&lt;TODAY()),"Terlambat","Belum lunas")))</f>
      </c>
    </row>
    <row r="147" spans="1:9" x14ac:dyDescent="0.25">
      <c r="A147" s="12"/>
      <c r="B147" s="8"/>
      <c r="C147" s="8"/>
      <c r="D147" s="8"/>
      <c r="E147" s="13"/>
      <c r="F147" s="12"/>
      <c r="G147" s="13"/>
      <c r="H147" s="16">
        <f>IF(E147="","",E147-N(G147))</f>
      </c>
      <c r="I147" s="15">
        <f>IF(E147="","",IF(E147-N(G147)&lt;=0,"Lunas",IF(AND(F147&lt;&gt;"",F147&lt;TODAY()),"Terlambat","Belum lunas")))</f>
      </c>
    </row>
    <row r="148" spans="1:9" x14ac:dyDescent="0.25">
      <c r="A148" s="12"/>
      <c r="B148" s="8"/>
      <c r="C148" s="8"/>
      <c r="D148" s="8"/>
      <c r="E148" s="13"/>
      <c r="F148" s="12"/>
      <c r="G148" s="13"/>
      <c r="H148" s="16">
        <f>IF(E148="","",E148-N(G148))</f>
      </c>
      <c r="I148" s="15">
        <f>IF(E148="","",IF(E148-N(G148)&lt;=0,"Lunas",IF(AND(F148&lt;&gt;"",F148&lt;TODAY()),"Terlambat","Belum lunas")))</f>
      </c>
    </row>
    <row r="149" spans="1:9" x14ac:dyDescent="0.25">
      <c r="A149" s="12"/>
      <c r="B149" s="8"/>
      <c r="C149" s="8"/>
      <c r="D149" s="8"/>
      <c r="E149" s="13"/>
      <c r="F149" s="12"/>
      <c r="G149" s="13"/>
      <c r="H149" s="16">
        <f>IF(E149="","",E149-N(G149))</f>
      </c>
      <c r="I149" s="15">
        <f>IF(E149="","",IF(E149-N(G149)&lt;=0,"Lunas",IF(AND(F149&lt;&gt;"",F149&lt;TODAY()),"Terlambat","Belum lunas")))</f>
      </c>
    </row>
    <row r="150" spans="1:9" x14ac:dyDescent="0.25">
      <c r="A150" s="12"/>
      <c r="B150" s="8"/>
      <c r="C150" s="8"/>
      <c r="D150" s="8"/>
      <c r="E150" s="13"/>
      <c r="F150" s="12"/>
      <c r="G150" s="13"/>
      <c r="H150" s="16">
        <f>IF(E150="","",E150-N(G150))</f>
      </c>
      <c r="I150" s="15">
        <f>IF(E150="","",IF(E150-N(G150)&lt;=0,"Lunas",IF(AND(F150&lt;&gt;"",F150&lt;TODAY()),"Terlambat","Belum lunas")))</f>
      </c>
    </row>
    <row r="151" spans="1:9" x14ac:dyDescent="0.25">
      <c r="A151" s="12"/>
      <c r="B151" s="8"/>
      <c r="C151" s="8"/>
      <c r="D151" s="8"/>
      <c r="E151" s="13"/>
      <c r="F151" s="12"/>
      <c r="G151" s="13"/>
      <c r="H151" s="16">
        <f>IF(E151="","",E151-N(G151))</f>
      </c>
      <c r="I151" s="15">
        <f>IF(E151="","",IF(E151-N(G151)&lt;=0,"Lunas",IF(AND(F151&lt;&gt;"",F151&lt;TODAY()),"Terlambat","Belum lunas")))</f>
      </c>
    </row>
    <row r="152" spans="1:9" x14ac:dyDescent="0.25">
      <c r="A152" s="12"/>
      <c r="B152" s="8"/>
      <c r="C152" s="8"/>
      <c r="D152" s="8"/>
      <c r="E152" s="13"/>
      <c r="F152" s="12"/>
      <c r="G152" s="13"/>
      <c r="H152" s="16">
        <f>IF(E152="","",E152-N(G152))</f>
      </c>
      <c r="I152" s="15">
        <f>IF(E152="","",IF(E152-N(G152)&lt;=0,"Lunas",IF(AND(F152&lt;&gt;"",F152&lt;TODAY()),"Terlambat","Belum lunas")))</f>
      </c>
    </row>
    <row r="153" spans="1:9" x14ac:dyDescent="0.25">
      <c r="A153" s="12"/>
      <c r="B153" s="8"/>
      <c r="C153" s="8"/>
      <c r="D153" s="8"/>
      <c r="E153" s="13"/>
      <c r="F153" s="12"/>
      <c r="G153" s="13"/>
      <c r="H153" s="16">
        <f>IF(E153="","",E153-N(G153))</f>
      </c>
      <c r="I153" s="15">
        <f>IF(E153="","",IF(E153-N(G153)&lt;=0,"Lunas",IF(AND(F153&lt;&gt;"",F153&lt;TODAY()),"Terlambat","Belum lunas")))</f>
      </c>
    </row>
    <row r="154" spans="1:9" x14ac:dyDescent="0.25">
      <c r="A154" s="12"/>
      <c r="B154" s="8"/>
      <c r="C154" s="8"/>
      <c r="D154" s="8"/>
      <c r="E154" s="13"/>
      <c r="F154" s="12"/>
      <c r="G154" s="13"/>
      <c r="H154" s="16">
        <f>IF(E154="","",E154-N(G154))</f>
      </c>
      <c r="I154" s="15">
        <f>IF(E154="","",IF(E154-N(G154)&lt;=0,"Lunas",IF(AND(F154&lt;&gt;"",F154&lt;TODAY()),"Terlambat","Belum lunas")))</f>
      </c>
    </row>
    <row r="155" spans="1:9" x14ac:dyDescent="0.25">
      <c r="A155" s="12"/>
      <c r="B155" s="8"/>
      <c r="C155" s="8"/>
      <c r="D155" s="8"/>
      <c r="E155" s="13"/>
      <c r="F155" s="12"/>
      <c r="G155" s="13"/>
      <c r="H155" s="16">
        <f>IF(E155="","",E155-N(G155))</f>
      </c>
      <c r="I155" s="15">
        <f>IF(E155="","",IF(E155-N(G155)&lt;=0,"Lunas",IF(AND(F155&lt;&gt;"",F155&lt;TODAY()),"Terlambat","Belum lunas")))</f>
      </c>
    </row>
    <row r="156" spans="1:9" x14ac:dyDescent="0.25">
      <c r="A156" s="12"/>
      <c r="B156" s="8"/>
      <c r="C156" s="8"/>
      <c r="D156" s="8"/>
      <c r="E156" s="13"/>
      <c r="F156" s="12"/>
      <c r="G156" s="13"/>
      <c r="H156" s="16">
        <f>IF(E156="","",E156-N(G156))</f>
      </c>
      <c r="I156" s="15">
        <f>IF(E156="","",IF(E156-N(G156)&lt;=0,"Lunas",IF(AND(F156&lt;&gt;"",F156&lt;TODAY()),"Terlambat","Belum lunas")))</f>
      </c>
    </row>
    <row r="157" spans="1:9" x14ac:dyDescent="0.25">
      <c r="A157" s="12"/>
      <c r="B157" s="8"/>
      <c r="C157" s="8"/>
      <c r="D157" s="8"/>
      <c r="E157" s="13"/>
      <c r="F157" s="12"/>
      <c r="G157" s="13"/>
      <c r="H157" s="16">
        <f>IF(E157="","",E157-N(G157))</f>
      </c>
      <c r="I157" s="15">
        <f>IF(E157="","",IF(E157-N(G157)&lt;=0,"Lunas",IF(AND(F157&lt;&gt;"",F157&lt;TODAY()),"Terlambat","Belum lunas")))</f>
      </c>
    </row>
    <row r="158" spans="1:9" x14ac:dyDescent="0.25">
      <c r="A158" s="12"/>
      <c r="B158" s="8"/>
      <c r="C158" s="8"/>
      <c r="D158" s="8"/>
      <c r="E158" s="13"/>
      <c r="F158" s="12"/>
      <c r="G158" s="13"/>
      <c r="H158" s="16">
        <f>IF(E158="","",E158-N(G158))</f>
      </c>
      <c r="I158" s="15">
        <f>IF(E158="","",IF(E158-N(G158)&lt;=0,"Lunas",IF(AND(F158&lt;&gt;"",F158&lt;TODAY()),"Terlambat","Belum lunas")))</f>
      </c>
    </row>
    <row r="159" spans="1:9" x14ac:dyDescent="0.25">
      <c r="A159" s="12"/>
      <c r="B159" s="8"/>
      <c r="C159" s="8"/>
      <c r="D159" s="8"/>
      <c r="E159" s="13"/>
      <c r="F159" s="12"/>
      <c r="G159" s="13"/>
      <c r="H159" s="16">
        <f>IF(E159="","",E159-N(G159))</f>
      </c>
      <c r="I159" s="15">
        <f>IF(E159="","",IF(E159-N(G159)&lt;=0,"Lunas",IF(AND(F159&lt;&gt;"",F159&lt;TODAY()),"Terlambat","Belum lunas")))</f>
      </c>
    </row>
    <row r="160" spans="1:9" x14ac:dyDescent="0.25">
      <c r="A160" s="12"/>
      <c r="B160" s="8"/>
      <c r="C160" s="8"/>
      <c r="D160" s="8"/>
      <c r="E160" s="13"/>
      <c r="F160" s="12"/>
      <c r="G160" s="13"/>
      <c r="H160" s="16">
        <f>IF(E160="","",E160-N(G160))</f>
      </c>
      <c r="I160" s="15">
        <f>IF(E160="","",IF(E160-N(G160)&lt;=0,"Lunas",IF(AND(F160&lt;&gt;"",F160&lt;TODAY()),"Terlambat","Belum lunas")))</f>
      </c>
    </row>
    <row r="161" spans="1:9" x14ac:dyDescent="0.25">
      <c r="A161" s="12"/>
      <c r="B161" s="8"/>
      <c r="C161" s="8"/>
      <c r="D161" s="8"/>
      <c r="E161" s="13"/>
      <c r="F161" s="12"/>
      <c r="G161" s="13"/>
      <c r="H161" s="16">
        <f>IF(E161="","",E161-N(G161))</f>
      </c>
      <c r="I161" s="15">
        <f>IF(E161="","",IF(E161-N(G161)&lt;=0,"Lunas",IF(AND(F161&lt;&gt;"",F161&lt;TODAY()),"Terlambat","Belum lunas")))</f>
      </c>
    </row>
    <row r="162" spans="1:9" x14ac:dyDescent="0.25">
      <c r="A162" s="12"/>
      <c r="B162" s="8"/>
      <c r="C162" s="8"/>
      <c r="D162" s="8"/>
      <c r="E162" s="13"/>
      <c r="F162" s="12"/>
      <c r="G162" s="13"/>
      <c r="H162" s="16">
        <f>IF(E162="","",E162-N(G162))</f>
      </c>
      <c r="I162" s="15">
        <f>IF(E162="","",IF(E162-N(G162)&lt;=0,"Lunas",IF(AND(F162&lt;&gt;"",F162&lt;TODAY()),"Terlambat","Belum lunas")))</f>
      </c>
    </row>
    <row r="163" spans="1:9" x14ac:dyDescent="0.25">
      <c r="A163" s="12"/>
      <c r="B163" s="8"/>
      <c r="C163" s="8"/>
      <c r="D163" s="8"/>
      <c r="E163" s="13"/>
      <c r="F163" s="12"/>
      <c r="G163" s="13"/>
      <c r="H163" s="16">
        <f>IF(E163="","",E163-N(G163))</f>
      </c>
      <c r="I163" s="15">
        <f>IF(E163="","",IF(E163-N(G163)&lt;=0,"Lunas",IF(AND(F163&lt;&gt;"",F163&lt;TODAY()),"Terlambat","Belum lunas")))</f>
      </c>
    </row>
    <row r="164" spans="1:9" x14ac:dyDescent="0.25">
      <c r="A164" s="12"/>
      <c r="B164" s="8"/>
      <c r="C164" s="8"/>
      <c r="D164" s="8"/>
      <c r="E164" s="13"/>
      <c r="F164" s="12"/>
      <c r="G164" s="13"/>
      <c r="H164" s="16">
        <f>IF(E164="","",E164-N(G164))</f>
      </c>
      <c r="I164" s="15">
        <f>IF(E164="","",IF(E164-N(G164)&lt;=0,"Lunas",IF(AND(F164&lt;&gt;"",F164&lt;TODAY()),"Terlambat","Belum lunas")))</f>
      </c>
    </row>
    <row r="165" spans="1:9" x14ac:dyDescent="0.25">
      <c r="A165" s="12"/>
      <c r="B165" s="8"/>
      <c r="C165" s="8"/>
      <c r="D165" s="8"/>
      <c r="E165" s="13"/>
      <c r="F165" s="12"/>
      <c r="G165" s="13"/>
      <c r="H165" s="16">
        <f>IF(E165="","",E165-N(G165))</f>
      </c>
      <c r="I165" s="15">
        <f>IF(E165="","",IF(E165-N(G165)&lt;=0,"Lunas",IF(AND(F165&lt;&gt;"",F165&lt;TODAY()),"Terlambat","Belum lunas")))</f>
      </c>
    </row>
    <row r="166" spans="1:9" x14ac:dyDescent="0.25">
      <c r="A166" s="12"/>
      <c r="B166" s="8"/>
      <c r="C166" s="8"/>
      <c r="D166" s="8"/>
      <c r="E166" s="13"/>
      <c r="F166" s="12"/>
      <c r="G166" s="13"/>
      <c r="H166" s="16">
        <f>IF(E166="","",E166-N(G166))</f>
      </c>
      <c r="I166" s="15">
        <f>IF(E166="","",IF(E166-N(G166)&lt;=0,"Lunas",IF(AND(F166&lt;&gt;"",F166&lt;TODAY()),"Terlambat","Belum lunas")))</f>
      </c>
    </row>
    <row r="167" spans="1:9" x14ac:dyDescent="0.25">
      <c r="A167" s="12"/>
      <c r="B167" s="8"/>
      <c r="C167" s="8"/>
      <c r="D167" s="8"/>
      <c r="E167" s="13"/>
      <c r="F167" s="12"/>
      <c r="G167" s="13"/>
      <c r="H167" s="16">
        <f>IF(E167="","",E167-N(G167))</f>
      </c>
      <c r="I167" s="15">
        <f>IF(E167="","",IF(E167-N(G167)&lt;=0,"Lunas",IF(AND(F167&lt;&gt;"",F167&lt;TODAY()),"Terlambat","Belum lunas")))</f>
      </c>
    </row>
    <row r="168" spans="1:9" x14ac:dyDescent="0.25">
      <c r="A168" s="12"/>
      <c r="B168" s="8"/>
      <c r="C168" s="8"/>
      <c r="D168" s="8"/>
      <c r="E168" s="13"/>
      <c r="F168" s="12"/>
      <c r="G168" s="13"/>
      <c r="H168" s="16">
        <f>IF(E168="","",E168-N(G168))</f>
      </c>
      <c r="I168" s="15">
        <f>IF(E168="","",IF(E168-N(G168)&lt;=0,"Lunas",IF(AND(F168&lt;&gt;"",F168&lt;TODAY()),"Terlambat","Belum lunas")))</f>
      </c>
    </row>
    <row r="169" spans="1:9" x14ac:dyDescent="0.25">
      <c r="A169" s="12"/>
      <c r="B169" s="8"/>
      <c r="C169" s="8"/>
      <c r="D169" s="8"/>
      <c r="E169" s="13"/>
      <c r="F169" s="12"/>
      <c r="G169" s="13"/>
      <c r="H169" s="16">
        <f>IF(E169="","",E169-N(G169))</f>
      </c>
      <c r="I169" s="15">
        <f>IF(E169="","",IF(E169-N(G169)&lt;=0,"Lunas",IF(AND(F169&lt;&gt;"",F169&lt;TODAY()),"Terlambat","Belum lunas")))</f>
      </c>
    </row>
    <row r="170" spans="1:9" x14ac:dyDescent="0.25">
      <c r="A170" s="12"/>
      <c r="B170" s="8"/>
      <c r="C170" s="8"/>
      <c r="D170" s="8"/>
      <c r="E170" s="13"/>
      <c r="F170" s="12"/>
      <c r="G170" s="13"/>
      <c r="H170" s="16">
        <f>IF(E170="","",E170-N(G170))</f>
      </c>
      <c r="I170" s="15">
        <f>IF(E170="","",IF(E170-N(G170)&lt;=0,"Lunas",IF(AND(F170&lt;&gt;"",F170&lt;TODAY()),"Terlambat","Belum lunas")))</f>
      </c>
    </row>
    <row r="171" spans="1:9" x14ac:dyDescent="0.25">
      <c r="A171" s="12"/>
      <c r="B171" s="8"/>
      <c r="C171" s="8"/>
      <c r="D171" s="8"/>
      <c r="E171" s="13"/>
      <c r="F171" s="12"/>
      <c r="G171" s="13"/>
      <c r="H171" s="16">
        <f>IF(E171="","",E171-N(G171))</f>
      </c>
      <c r="I171" s="15">
        <f>IF(E171="","",IF(E171-N(G171)&lt;=0,"Lunas",IF(AND(F171&lt;&gt;"",F171&lt;TODAY()),"Terlambat","Belum lunas")))</f>
      </c>
    </row>
    <row r="172" spans="1:9" x14ac:dyDescent="0.25">
      <c r="A172" s="12"/>
      <c r="B172" s="8"/>
      <c r="C172" s="8"/>
      <c r="D172" s="8"/>
      <c r="E172" s="13"/>
      <c r="F172" s="12"/>
      <c r="G172" s="13"/>
      <c r="H172" s="16">
        <f>IF(E172="","",E172-N(G172))</f>
      </c>
      <c r="I172" s="15">
        <f>IF(E172="","",IF(E172-N(G172)&lt;=0,"Lunas",IF(AND(F172&lt;&gt;"",F172&lt;TODAY()),"Terlambat","Belum lunas")))</f>
      </c>
    </row>
    <row r="173" spans="1:9" x14ac:dyDescent="0.25">
      <c r="A173" s="12"/>
      <c r="B173" s="8"/>
      <c r="C173" s="8"/>
      <c r="D173" s="8"/>
      <c r="E173" s="13"/>
      <c r="F173" s="12"/>
      <c r="G173" s="13"/>
      <c r="H173" s="16">
        <f>IF(E173="","",E173-N(G173))</f>
      </c>
      <c r="I173" s="15">
        <f>IF(E173="","",IF(E173-N(G173)&lt;=0,"Lunas",IF(AND(F173&lt;&gt;"",F173&lt;TODAY()),"Terlambat","Belum lunas")))</f>
      </c>
    </row>
    <row r="174" spans="1:9" x14ac:dyDescent="0.25">
      <c r="A174" s="12"/>
      <c r="B174" s="8"/>
      <c r="C174" s="8"/>
      <c r="D174" s="8"/>
      <c r="E174" s="13"/>
      <c r="F174" s="12"/>
      <c r="G174" s="13"/>
      <c r="H174" s="16">
        <f>IF(E174="","",E174-N(G174))</f>
      </c>
      <c r="I174" s="15">
        <f>IF(E174="","",IF(E174-N(G174)&lt;=0,"Lunas",IF(AND(F174&lt;&gt;"",F174&lt;TODAY()),"Terlambat","Belum lunas")))</f>
      </c>
    </row>
    <row r="175" spans="1:9" x14ac:dyDescent="0.25">
      <c r="A175" s="12"/>
      <c r="B175" s="8"/>
      <c r="C175" s="8"/>
      <c r="D175" s="8"/>
      <c r="E175" s="13"/>
      <c r="F175" s="12"/>
      <c r="G175" s="13"/>
      <c r="H175" s="16">
        <f>IF(E175="","",E175-N(G175))</f>
      </c>
      <c r="I175" s="15">
        <f>IF(E175="","",IF(E175-N(G175)&lt;=0,"Lunas",IF(AND(F175&lt;&gt;"",F175&lt;TODAY()),"Terlambat","Belum lunas")))</f>
      </c>
    </row>
    <row r="176" spans="1:9" x14ac:dyDescent="0.25">
      <c r="A176" s="12"/>
      <c r="B176" s="8"/>
      <c r="C176" s="8"/>
      <c r="D176" s="8"/>
      <c r="E176" s="13"/>
      <c r="F176" s="12"/>
      <c r="G176" s="13"/>
      <c r="H176" s="16">
        <f>IF(E176="","",E176-N(G176))</f>
      </c>
      <c r="I176" s="15">
        <f>IF(E176="","",IF(E176-N(G176)&lt;=0,"Lunas",IF(AND(F176&lt;&gt;"",F176&lt;TODAY()),"Terlambat","Belum lunas")))</f>
      </c>
    </row>
    <row r="177" spans="1:9" x14ac:dyDescent="0.25">
      <c r="A177" s="12"/>
      <c r="B177" s="8"/>
      <c r="C177" s="8"/>
      <c r="D177" s="8"/>
      <c r="E177" s="13"/>
      <c r="F177" s="12"/>
      <c r="G177" s="13"/>
      <c r="H177" s="16">
        <f>IF(E177="","",E177-N(G177))</f>
      </c>
      <c r="I177" s="15">
        <f>IF(E177="","",IF(E177-N(G177)&lt;=0,"Lunas",IF(AND(F177&lt;&gt;"",F177&lt;TODAY()),"Terlambat","Belum lunas")))</f>
      </c>
    </row>
    <row r="178" spans="1:9" x14ac:dyDescent="0.25">
      <c r="A178" s="12"/>
      <c r="B178" s="8"/>
      <c r="C178" s="8"/>
      <c r="D178" s="8"/>
      <c r="E178" s="13"/>
      <c r="F178" s="12"/>
      <c r="G178" s="13"/>
      <c r="H178" s="16">
        <f>IF(E178="","",E178-N(G178))</f>
      </c>
      <c r="I178" s="15">
        <f>IF(E178="","",IF(E178-N(G178)&lt;=0,"Lunas",IF(AND(F178&lt;&gt;"",F178&lt;TODAY()),"Terlambat","Belum lunas")))</f>
      </c>
    </row>
    <row r="179" spans="1:9" x14ac:dyDescent="0.25">
      <c r="A179" s="12"/>
      <c r="B179" s="8"/>
      <c r="C179" s="8"/>
      <c r="D179" s="8"/>
      <c r="E179" s="13"/>
      <c r="F179" s="12"/>
      <c r="G179" s="13"/>
      <c r="H179" s="16">
        <f>IF(E179="","",E179-N(G179))</f>
      </c>
      <c r="I179" s="15">
        <f>IF(E179="","",IF(E179-N(G179)&lt;=0,"Lunas",IF(AND(F179&lt;&gt;"",F179&lt;TODAY()),"Terlambat","Belum lunas")))</f>
      </c>
    </row>
    <row r="180" spans="1:9" x14ac:dyDescent="0.25">
      <c r="A180" s="12"/>
      <c r="B180" s="8"/>
      <c r="C180" s="8"/>
      <c r="D180" s="8"/>
      <c r="E180" s="13"/>
      <c r="F180" s="12"/>
      <c r="G180" s="13"/>
      <c r="H180" s="16">
        <f>IF(E180="","",E180-N(G180))</f>
      </c>
      <c r="I180" s="15">
        <f>IF(E180="","",IF(E180-N(G180)&lt;=0,"Lunas",IF(AND(F180&lt;&gt;"",F180&lt;TODAY()),"Terlambat","Belum lunas")))</f>
      </c>
    </row>
    <row r="181" spans="1:9" x14ac:dyDescent="0.25">
      <c r="A181" s="12"/>
      <c r="B181" s="8"/>
      <c r="C181" s="8"/>
      <c r="D181" s="8"/>
      <c r="E181" s="13"/>
      <c r="F181" s="12"/>
      <c r="G181" s="13"/>
      <c r="H181" s="16">
        <f>IF(E181="","",E181-N(G181))</f>
      </c>
      <c r="I181" s="15">
        <f>IF(E181="","",IF(E181-N(G181)&lt;=0,"Lunas",IF(AND(F181&lt;&gt;"",F181&lt;TODAY()),"Terlambat","Belum lunas")))</f>
      </c>
    </row>
    <row r="182" spans="1:9" x14ac:dyDescent="0.25">
      <c r="A182" s="12"/>
      <c r="B182" s="8"/>
      <c r="C182" s="8"/>
      <c r="D182" s="8"/>
      <c r="E182" s="13"/>
      <c r="F182" s="12"/>
      <c r="G182" s="13"/>
      <c r="H182" s="16">
        <f>IF(E182="","",E182-N(G182))</f>
      </c>
      <c r="I182" s="15">
        <f>IF(E182="","",IF(E182-N(G182)&lt;=0,"Lunas",IF(AND(F182&lt;&gt;"",F182&lt;TODAY()),"Terlambat","Belum lunas")))</f>
      </c>
    </row>
    <row r="183" spans="1:9" x14ac:dyDescent="0.25">
      <c r="A183" s="12"/>
      <c r="B183" s="8"/>
      <c r="C183" s="8"/>
      <c r="D183" s="8"/>
      <c r="E183" s="13"/>
      <c r="F183" s="12"/>
      <c r="G183" s="13"/>
      <c r="H183" s="16">
        <f>IF(E183="","",E183-N(G183))</f>
      </c>
      <c r="I183" s="15">
        <f>IF(E183="","",IF(E183-N(G183)&lt;=0,"Lunas",IF(AND(F183&lt;&gt;"",F183&lt;TODAY()),"Terlambat","Belum lunas")))</f>
      </c>
    </row>
    <row r="184" spans="1:9" x14ac:dyDescent="0.25">
      <c r="A184" s="12"/>
      <c r="B184" s="8"/>
      <c r="C184" s="8"/>
      <c r="D184" s="8"/>
      <c r="E184" s="13"/>
      <c r="F184" s="12"/>
      <c r="G184" s="13"/>
      <c r="H184" s="16">
        <f>IF(E184="","",E184-N(G184))</f>
      </c>
      <c r="I184" s="15">
        <f>IF(E184="","",IF(E184-N(G184)&lt;=0,"Lunas",IF(AND(F184&lt;&gt;"",F184&lt;TODAY()),"Terlambat","Belum lunas")))</f>
      </c>
    </row>
    <row r="185" spans="1:9" x14ac:dyDescent="0.25">
      <c r="A185" s="12"/>
      <c r="B185" s="8"/>
      <c r="C185" s="8"/>
      <c r="D185" s="8"/>
      <c r="E185" s="13"/>
      <c r="F185" s="12"/>
      <c r="G185" s="13"/>
      <c r="H185" s="16">
        <f>IF(E185="","",E185-N(G185))</f>
      </c>
      <c r="I185" s="15">
        <f>IF(E185="","",IF(E185-N(G185)&lt;=0,"Lunas",IF(AND(F185&lt;&gt;"",F185&lt;TODAY()),"Terlambat","Belum lunas")))</f>
      </c>
    </row>
    <row r="186" spans="1:9" x14ac:dyDescent="0.25">
      <c r="A186" s="12"/>
      <c r="B186" s="8"/>
      <c r="C186" s="8"/>
      <c r="D186" s="8"/>
      <c r="E186" s="13"/>
      <c r="F186" s="12"/>
      <c r="G186" s="13"/>
      <c r="H186" s="16">
        <f>IF(E186="","",E186-N(G186))</f>
      </c>
      <c r="I186" s="15">
        <f>IF(E186="","",IF(E186-N(G186)&lt;=0,"Lunas",IF(AND(F186&lt;&gt;"",F186&lt;TODAY()),"Terlambat","Belum lunas")))</f>
      </c>
    </row>
    <row r="187" spans="1:9" x14ac:dyDescent="0.25">
      <c r="A187" s="12"/>
      <c r="B187" s="8"/>
      <c r="C187" s="8"/>
      <c r="D187" s="8"/>
      <c r="E187" s="13"/>
      <c r="F187" s="12"/>
      <c r="G187" s="13"/>
      <c r="H187" s="16">
        <f>IF(E187="","",E187-N(G187))</f>
      </c>
      <c r="I187" s="15">
        <f>IF(E187="","",IF(E187-N(G187)&lt;=0,"Lunas",IF(AND(F187&lt;&gt;"",F187&lt;TODAY()),"Terlambat","Belum lunas")))</f>
      </c>
    </row>
    <row r="188" spans="1:9" x14ac:dyDescent="0.25">
      <c r="A188" s="12"/>
      <c r="B188" s="8"/>
      <c r="C188" s="8"/>
      <c r="D188" s="8"/>
      <c r="E188" s="13"/>
      <c r="F188" s="12"/>
      <c r="G188" s="13"/>
      <c r="H188" s="16">
        <f>IF(E188="","",E188-N(G188))</f>
      </c>
      <c r="I188" s="15">
        <f>IF(E188="","",IF(E188-N(G188)&lt;=0,"Lunas",IF(AND(F188&lt;&gt;"",F188&lt;TODAY()),"Terlambat","Belum lunas")))</f>
      </c>
    </row>
    <row r="189" spans="1:9" x14ac:dyDescent="0.25">
      <c r="A189" s="12"/>
      <c r="B189" s="8"/>
      <c r="C189" s="8"/>
      <c r="D189" s="8"/>
      <c r="E189" s="13"/>
      <c r="F189" s="12"/>
      <c r="G189" s="13"/>
      <c r="H189" s="16">
        <f>IF(E189="","",E189-N(G189))</f>
      </c>
      <c r="I189" s="15">
        <f>IF(E189="","",IF(E189-N(G189)&lt;=0,"Lunas",IF(AND(F189&lt;&gt;"",F189&lt;TODAY()),"Terlambat","Belum lunas")))</f>
      </c>
    </row>
    <row r="190" spans="1:9" x14ac:dyDescent="0.25">
      <c r="A190" s="12"/>
      <c r="B190" s="8"/>
      <c r="C190" s="8"/>
      <c r="D190" s="8"/>
      <c r="E190" s="13"/>
      <c r="F190" s="12"/>
      <c r="G190" s="13"/>
      <c r="H190" s="16">
        <f>IF(E190="","",E190-N(G190))</f>
      </c>
      <c r="I190" s="15">
        <f>IF(E190="","",IF(E190-N(G190)&lt;=0,"Lunas",IF(AND(F190&lt;&gt;"",F190&lt;TODAY()),"Terlambat","Belum lunas")))</f>
      </c>
    </row>
    <row r="191" spans="1:9" x14ac:dyDescent="0.25">
      <c r="A191" s="12"/>
      <c r="B191" s="8"/>
      <c r="C191" s="8"/>
      <c r="D191" s="8"/>
      <c r="E191" s="13"/>
      <c r="F191" s="12"/>
      <c r="G191" s="13"/>
      <c r="H191" s="16">
        <f>IF(E191="","",E191-N(G191))</f>
      </c>
      <c r="I191" s="15">
        <f>IF(E191="","",IF(E191-N(G191)&lt;=0,"Lunas",IF(AND(F191&lt;&gt;"",F191&lt;TODAY()),"Terlambat","Belum lunas")))</f>
      </c>
    </row>
    <row r="192" spans="1:9" x14ac:dyDescent="0.25">
      <c r="A192" s="12"/>
      <c r="B192" s="8"/>
      <c r="C192" s="8"/>
      <c r="D192" s="8"/>
      <c r="E192" s="13"/>
      <c r="F192" s="12"/>
      <c r="G192" s="13"/>
      <c r="H192" s="16">
        <f>IF(E192="","",E192-N(G192))</f>
      </c>
      <c r="I192" s="15">
        <f>IF(E192="","",IF(E192-N(G192)&lt;=0,"Lunas",IF(AND(F192&lt;&gt;"",F192&lt;TODAY()),"Terlambat","Belum lunas")))</f>
      </c>
    </row>
    <row r="193" spans="1:9" x14ac:dyDescent="0.25">
      <c r="A193" s="12"/>
      <c r="B193" s="8"/>
      <c r="C193" s="8"/>
      <c r="D193" s="8"/>
      <c r="E193" s="13"/>
      <c r="F193" s="12"/>
      <c r="G193" s="13"/>
      <c r="H193" s="16">
        <f>IF(E193="","",E193-N(G193))</f>
      </c>
      <c r="I193" s="15">
        <f>IF(E193="","",IF(E193-N(G193)&lt;=0,"Lunas",IF(AND(F193&lt;&gt;"",F193&lt;TODAY()),"Terlambat","Belum lunas")))</f>
      </c>
    </row>
    <row r="194" spans="1:9" x14ac:dyDescent="0.25">
      <c r="A194" s="12"/>
      <c r="B194" s="8"/>
      <c r="C194" s="8"/>
      <c r="D194" s="8"/>
      <c r="E194" s="13"/>
      <c r="F194" s="12"/>
      <c r="G194" s="13"/>
      <c r="H194" s="16">
        <f>IF(E194="","",E194-N(G194))</f>
      </c>
      <c r="I194" s="15">
        <f>IF(E194="","",IF(E194-N(G194)&lt;=0,"Lunas",IF(AND(F194&lt;&gt;"",F194&lt;TODAY()),"Terlambat","Belum lunas")))</f>
      </c>
    </row>
    <row r="195" spans="1:9" x14ac:dyDescent="0.25">
      <c r="A195" s="12"/>
      <c r="B195" s="8"/>
      <c r="C195" s="8"/>
      <c r="D195" s="8"/>
      <c r="E195" s="13"/>
      <c r="F195" s="12"/>
      <c r="G195" s="13"/>
      <c r="H195" s="16">
        <f>IF(E195="","",E195-N(G195))</f>
      </c>
      <c r="I195" s="15">
        <f>IF(E195="","",IF(E195-N(G195)&lt;=0,"Lunas",IF(AND(F195&lt;&gt;"",F195&lt;TODAY()),"Terlambat","Belum lunas")))</f>
      </c>
    </row>
    <row r="196" spans="1:9" x14ac:dyDescent="0.25">
      <c r="A196" s="12"/>
      <c r="B196" s="8"/>
      <c r="C196" s="8"/>
      <c r="D196" s="8"/>
      <c r="E196" s="13"/>
      <c r="F196" s="12"/>
      <c r="G196" s="13"/>
      <c r="H196" s="16">
        <f>IF(E196="","",E196-N(G196))</f>
      </c>
      <c r="I196" s="15">
        <f>IF(E196="","",IF(E196-N(G196)&lt;=0,"Lunas",IF(AND(F196&lt;&gt;"",F196&lt;TODAY()),"Terlambat","Belum lunas")))</f>
      </c>
    </row>
    <row r="197" spans="1:9" x14ac:dyDescent="0.25">
      <c r="A197" s="12"/>
      <c r="B197" s="8"/>
      <c r="C197" s="8"/>
      <c r="D197" s="8"/>
      <c r="E197" s="13"/>
      <c r="F197" s="12"/>
      <c r="G197" s="13"/>
      <c r="H197" s="16">
        <f>IF(E197="","",E197-N(G197))</f>
      </c>
      <c r="I197" s="15">
        <f>IF(E197="","",IF(E197-N(G197)&lt;=0,"Lunas",IF(AND(F197&lt;&gt;"",F197&lt;TODAY()),"Terlambat","Belum lunas")))</f>
      </c>
    </row>
    <row r="198" spans="1:9" x14ac:dyDescent="0.25">
      <c r="A198" s="12"/>
      <c r="B198" s="8"/>
      <c r="C198" s="8"/>
      <c r="D198" s="8"/>
      <c r="E198" s="13"/>
      <c r="F198" s="12"/>
      <c r="G198" s="13"/>
      <c r="H198" s="16">
        <f>IF(E198="","",E198-N(G198))</f>
      </c>
      <c r="I198" s="15">
        <f>IF(E198="","",IF(E198-N(G198)&lt;=0,"Lunas",IF(AND(F198&lt;&gt;"",F198&lt;TODAY()),"Terlambat","Belum lunas")))</f>
      </c>
    </row>
    <row r="199" spans="1:9" x14ac:dyDescent="0.25">
      <c r="A199" s="12"/>
      <c r="B199" s="8"/>
      <c r="C199" s="8"/>
      <c r="D199" s="8"/>
      <c r="E199" s="13"/>
      <c r="F199" s="12"/>
      <c r="G199" s="13"/>
      <c r="H199" s="16">
        <f>IF(E199="","",E199-N(G199))</f>
      </c>
      <c r="I199" s="15">
        <f>IF(E199="","",IF(E199-N(G199)&lt;=0,"Lunas",IF(AND(F199&lt;&gt;"",F199&lt;TODAY()),"Terlambat","Belum lunas")))</f>
      </c>
    </row>
    <row r="200" spans="1:9" x14ac:dyDescent="0.25">
      <c r="A200" s="12"/>
      <c r="B200" s="8"/>
      <c r="C200" s="8"/>
      <c r="D200" s="8"/>
      <c r="E200" s="13"/>
      <c r="F200" s="12"/>
      <c r="G200" s="13"/>
      <c r="H200" s="16">
        <f>IF(E200="","",E200-N(G200))</f>
      </c>
      <c r="I200" s="15">
        <f>IF(E200="","",IF(E200-N(G200)&lt;=0,"Lunas",IF(AND(F200&lt;&gt;"",F200&lt;TODAY()),"Terlambat","Belum lunas")))</f>
      </c>
    </row>
    <row r="201" spans="1:9" x14ac:dyDescent="0.25">
      <c r="A201" s="12"/>
      <c r="B201" s="8"/>
      <c r="C201" s="8"/>
      <c r="D201" s="8"/>
      <c r="E201" s="13"/>
      <c r="F201" s="12"/>
      <c r="G201" s="13"/>
      <c r="H201" s="16">
        <f>IF(E201="","",E201-N(G201))</f>
      </c>
      <c r="I201" s="15">
        <f>IF(E201="","",IF(E201-N(G201)&lt;=0,"Lunas",IF(AND(F201&lt;&gt;"",F201&lt;TODAY()),"Terlambat","Belum lunas")))</f>
      </c>
    </row>
    <row r="202" spans="1:9" x14ac:dyDescent="0.25">
      <c r="A202" s="12"/>
      <c r="B202" s="8"/>
      <c r="C202" s="8"/>
      <c r="D202" s="8"/>
      <c r="E202" s="13"/>
      <c r="F202" s="12"/>
      <c r="G202" s="13"/>
      <c r="H202" s="16">
        <f>IF(E202="","",E202-N(G202))</f>
      </c>
      <c r="I202" s="15">
        <f>IF(E202="","",IF(E202-N(G202)&lt;=0,"Lunas",IF(AND(F202&lt;&gt;"",F202&lt;TODAY()),"Terlambat","Belum lunas")))</f>
      </c>
    </row>
    <row r="203" spans="1:9" x14ac:dyDescent="0.25">
      <c r="A203" s="12"/>
      <c r="B203" s="8"/>
      <c r="C203" s="8"/>
      <c r="D203" s="8"/>
      <c r="E203" s="13"/>
      <c r="F203" s="12"/>
      <c r="G203" s="13"/>
      <c r="H203" s="16">
        <f>IF(E203="","",E203-N(G203))</f>
      </c>
      <c r="I203" s="15">
        <f>IF(E203="","",IF(E203-N(G203)&lt;=0,"Lunas",IF(AND(F203&lt;&gt;"",F203&lt;TODAY()),"Terlambat","Belum lunas")))</f>
      </c>
    </row>
    <row r="204" spans="1:9" x14ac:dyDescent="0.25">
      <c r="A204" s="12"/>
      <c r="B204" s="8"/>
      <c r="C204" s="8"/>
      <c r="D204" s="8"/>
      <c r="E204" s="13"/>
      <c r="F204" s="12"/>
      <c r="G204" s="13"/>
      <c r="H204" s="16">
        <f>IF(E204="","",E204-N(G204))</f>
      </c>
      <c r="I204" s="15">
        <f>IF(E204="","",IF(E204-N(G204)&lt;=0,"Lunas",IF(AND(F204&lt;&gt;"",F204&lt;TODAY()),"Terlambat","Belum lunas")))</f>
      </c>
    </row>
    <row r="205" spans="1:9" x14ac:dyDescent="0.25">
      <c r="A205" s="12"/>
      <c r="B205" s="8"/>
      <c r="C205" s="8"/>
      <c r="D205" s="8"/>
      <c r="E205" s="13"/>
      <c r="F205" s="12"/>
      <c r="G205" s="13"/>
      <c r="H205" s="16">
        <f>IF(E205="","",E205-N(G205))</f>
      </c>
      <c r="I205" s="15">
        <f>IF(E205="","",IF(E205-N(G205)&lt;=0,"Lunas",IF(AND(F205&lt;&gt;"",F205&lt;TODAY()),"Terlambat","Belum lunas")))</f>
      </c>
    </row>
    <row r="206" spans="1:9" x14ac:dyDescent="0.25">
      <c r="A206" s="12"/>
      <c r="B206" s="8"/>
      <c r="C206" s="8"/>
      <c r="D206" s="8"/>
      <c r="E206" s="13"/>
      <c r="F206" s="12"/>
      <c r="G206" s="13"/>
      <c r="H206" s="16">
        <f>IF(E206="","",E206-N(G206))</f>
      </c>
      <c r="I206" s="15">
        <f>IF(E206="","",IF(E206-N(G206)&lt;=0,"Lunas",IF(AND(F206&lt;&gt;"",F206&lt;TODAY()),"Terlambat","Belum lunas")))</f>
      </c>
    </row>
    <row r="207" spans="1:9" x14ac:dyDescent="0.25">
      <c r="A207" s="12"/>
      <c r="B207" s="8"/>
      <c r="C207" s="8"/>
      <c r="D207" s="8"/>
      <c r="E207" s="13"/>
      <c r="F207" s="12"/>
      <c r="G207" s="13"/>
      <c r="H207" s="16">
        <f>IF(E207="","",E207-N(G207))</f>
      </c>
      <c r="I207" s="15">
        <f>IF(E207="","",IF(E207-N(G207)&lt;=0,"Lunas",IF(AND(F207&lt;&gt;"",F207&lt;TODAY()),"Terlambat","Belum lunas")))</f>
      </c>
    </row>
    <row r="208" spans="1:9" x14ac:dyDescent="0.25">
      <c r="A208" s="12"/>
      <c r="B208" s="8"/>
      <c r="C208" s="8"/>
      <c r="D208" s="8"/>
      <c r="E208" s="13"/>
      <c r="F208" s="12"/>
      <c r="G208" s="13"/>
      <c r="H208" s="16">
        <f>IF(E208="","",E208-N(G208))</f>
      </c>
      <c r="I208" s="15">
        <f>IF(E208="","",IF(E208-N(G208)&lt;=0,"Lunas",IF(AND(F208&lt;&gt;"",F208&lt;TODAY()),"Terlambat","Belum lunas")))</f>
      </c>
    </row>
    <row r="209" spans="1:9" x14ac:dyDescent="0.25">
      <c r="A209" s="12"/>
      <c r="B209" s="8"/>
      <c r="C209" s="8"/>
      <c r="D209" s="8"/>
      <c r="E209" s="13"/>
      <c r="F209" s="12"/>
      <c r="G209" s="13"/>
      <c r="H209" s="16">
        <f>IF(E209="","",E209-N(G209))</f>
      </c>
      <c r="I209" s="15">
        <f>IF(E209="","",IF(E209-N(G209)&lt;=0,"Lunas",IF(AND(F209&lt;&gt;"",F209&lt;TODAY()),"Terlambat","Belum lunas")))</f>
      </c>
    </row>
    <row r="210" spans="1:9" x14ac:dyDescent="0.25">
      <c r="A210" s="12"/>
      <c r="B210" s="8"/>
      <c r="C210" s="8"/>
      <c r="D210" s="8"/>
      <c r="E210" s="13"/>
      <c r="F210" s="12"/>
      <c r="G210" s="13"/>
      <c r="H210" s="16">
        <f>IF(E210="","",E210-N(G210))</f>
      </c>
      <c r="I210" s="15">
        <f>IF(E210="","",IF(E210-N(G210)&lt;=0,"Lunas",IF(AND(F210&lt;&gt;"",F210&lt;TODAY()),"Terlambat","Belum lunas")))</f>
      </c>
    </row>
    <row r="211" spans="1:9" x14ac:dyDescent="0.25">
      <c r="A211" s="12"/>
      <c r="B211" s="8"/>
      <c r="C211" s="8"/>
      <c r="D211" s="8"/>
      <c r="E211" s="13"/>
      <c r="F211" s="12"/>
      <c r="G211" s="13"/>
      <c r="H211" s="16">
        <f>IF(E211="","",E211-N(G211))</f>
      </c>
      <c r="I211" s="15">
        <f>IF(E211="","",IF(E211-N(G211)&lt;=0,"Lunas",IF(AND(F211&lt;&gt;"",F211&lt;TODAY()),"Terlambat","Belum lunas")))</f>
      </c>
    </row>
    <row r="212" spans="1:9" x14ac:dyDescent="0.25">
      <c r="A212" s="12"/>
      <c r="B212" s="8"/>
      <c r="C212" s="8"/>
      <c r="D212" s="8"/>
      <c r="E212" s="13"/>
      <c r="F212" s="12"/>
      <c r="G212" s="13"/>
      <c r="H212" s="16">
        <f>IF(E212="","",E212-N(G212))</f>
      </c>
      <c r="I212" s="15">
        <f>IF(E212="","",IF(E212-N(G212)&lt;=0,"Lunas",IF(AND(F212&lt;&gt;"",F212&lt;TODAY()),"Terlambat","Belum lunas")))</f>
      </c>
    </row>
    <row r="213" spans="1:9" x14ac:dyDescent="0.25">
      <c r="A213" s="12"/>
      <c r="B213" s="8"/>
      <c r="C213" s="8"/>
      <c r="D213" s="8"/>
      <c r="E213" s="13"/>
      <c r="F213" s="12"/>
      <c r="G213" s="13"/>
      <c r="H213" s="16">
        <f>IF(E213="","",E213-N(G213))</f>
      </c>
      <c r="I213" s="15">
        <f>IF(E213="","",IF(E213-N(G213)&lt;=0,"Lunas",IF(AND(F213&lt;&gt;"",F213&lt;TODAY()),"Terlambat","Belum lunas")))</f>
      </c>
    </row>
    <row r="214" spans="1:9" x14ac:dyDescent="0.25">
      <c r="A214" s="12"/>
      <c r="B214" s="8"/>
      <c r="C214" s="8"/>
      <c r="D214" s="8"/>
      <c r="E214" s="13"/>
      <c r="F214" s="12"/>
      <c r="G214" s="13"/>
      <c r="H214" s="16">
        <f>IF(E214="","",E214-N(G214))</f>
      </c>
      <c r="I214" s="15">
        <f>IF(E214="","",IF(E214-N(G214)&lt;=0,"Lunas",IF(AND(F214&lt;&gt;"",F214&lt;TODAY()),"Terlambat","Belum lunas")))</f>
      </c>
    </row>
    <row r="215" spans="1:9" x14ac:dyDescent="0.25">
      <c r="A215" s="12"/>
      <c r="B215" s="8"/>
      <c r="C215" s="8"/>
      <c r="D215" s="8"/>
      <c r="E215" s="13"/>
      <c r="F215" s="12"/>
      <c r="G215" s="13"/>
      <c r="H215" s="16">
        <f>IF(E215="","",E215-N(G215))</f>
      </c>
      <c r="I215" s="15">
        <f>IF(E215="","",IF(E215-N(G215)&lt;=0,"Lunas",IF(AND(F215&lt;&gt;"",F215&lt;TODAY()),"Terlambat","Belum lunas")))</f>
      </c>
    </row>
    <row r="216" spans="1:9" x14ac:dyDescent="0.25">
      <c r="A216" s="12"/>
      <c r="B216" s="8"/>
      <c r="C216" s="8"/>
      <c r="D216" s="8"/>
      <c r="E216" s="13"/>
      <c r="F216" s="12"/>
      <c r="G216" s="13"/>
      <c r="H216" s="16">
        <f>IF(E216="","",E216-N(G216))</f>
      </c>
      <c r="I216" s="15">
        <f>IF(E216="","",IF(E216-N(G216)&lt;=0,"Lunas",IF(AND(F216&lt;&gt;"",F216&lt;TODAY()),"Terlambat","Belum lunas")))</f>
      </c>
    </row>
    <row r="217" spans="1:9" x14ac:dyDescent="0.25">
      <c r="A217" s="12"/>
      <c r="B217" s="8"/>
      <c r="C217" s="8"/>
      <c r="D217" s="8"/>
      <c r="E217" s="13"/>
      <c r="F217" s="12"/>
      <c r="G217" s="13"/>
      <c r="H217" s="16">
        <f>IF(E217="","",E217-N(G217))</f>
      </c>
      <c r="I217" s="15">
        <f>IF(E217="","",IF(E217-N(G217)&lt;=0,"Lunas",IF(AND(F217&lt;&gt;"",F217&lt;TODAY()),"Terlambat","Belum lunas")))</f>
      </c>
    </row>
    <row r="218" spans="1:9" x14ac:dyDescent="0.25">
      <c r="A218" s="12"/>
      <c r="B218" s="8"/>
      <c r="C218" s="8"/>
      <c r="D218" s="8"/>
      <c r="E218" s="13"/>
      <c r="F218" s="12"/>
      <c r="G218" s="13"/>
      <c r="H218" s="16">
        <f>IF(E218="","",E218-N(G218))</f>
      </c>
      <c r="I218" s="15">
        <f>IF(E218="","",IF(E218-N(G218)&lt;=0,"Lunas",IF(AND(F218&lt;&gt;"",F218&lt;TODAY()),"Terlambat","Belum lunas")))</f>
      </c>
    </row>
    <row r="219" spans="1:9" x14ac:dyDescent="0.25">
      <c r="A219" s="12"/>
      <c r="B219" s="8"/>
      <c r="C219" s="8"/>
      <c r="D219" s="8"/>
      <c r="E219" s="13"/>
      <c r="F219" s="12"/>
      <c r="G219" s="13"/>
      <c r="H219" s="16">
        <f>IF(E219="","",E219-N(G219))</f>
      </c>
      <c r="I219" s="15">
        <f>IF(E219="","",IF(E219-N(G219)&lt;=0,"Lunas",IF(AND(F219&lt;&gt;"",F219&lt;TODAY()),"Terlambat","Belum lunas")))</f>
      </c>
    </row>
    <row r="220" spans="1:9" x14ac:dyDescent="0.25">
      <c r="A220" s="12"/>
      <c r="B220" s="8"/>
      <c r="C220" s="8"/>
      <c r="D220" s="8"/>
      <c r="E220" s="13"/>
      <c r="F220" s="12"/>
      <c r="G220" s="13"/>
      <c r="H220" s="16">
        <f>IF(E220="","",E220-N(G220))</f>
      </c>
      <c r="I220" s="15">
        <f>IF(E220="","",IF(E220-N(G220)&lt;=0,"Lunas",IF(AND(F220&lt;&gt;"",F220&lt;TODAY()),"Terlambat","Belum lunas")))</f>
      </c>
    </row>
    <row r="221" spans="1:9" x14ac:dyDescent="0.25">
      <c r="A221" s="12"/>
      <c r="B221" s="8"/>
      <c r="C221" s="8"/>
      <c r="D221" s="8"/>
      <c r="E221" s="13"/>
      <c r="F221" s="12"/>
      <c r="G221" s="13"/>
      <c r="H221" s="16">
        <f>IF(E221="","",E221-N(G221))</f>
      </c>
      <c r="I221" s="15">
        <f>IF(E221="","",IF(E221-N(G221)&lt;=0,"Lunas",IF(AND(F221&lt;&gt;"",F221&lt;TODAY()),"Terlambat","Belum lunas")))</f>
      </c>
    </row>
    <row r="222" spans="1:9" x14ac:dyDescent="0.25">
      <c r="A222" s="12"/>
      <c r="B222" s="8"/>
      <c r="C222" s="8"/>
      <c r="D222" s="8"/>
      <c r="E222" s="13"/>
      <c r="F222" s="12"/>
      <c r="G222" s="13"/>
      <c r="H222" s="16">
        <f>IF(E222="","",E222-N(G222))</f>
      </c>
      <c r="I222" s="15">
        <f>IF(E222="","",IF(E222-N(G222)&lt;=0,"Lunas",IF(AND(F222&lt;&gt;"",F222&lt;TODAY()),"Terlambat","Belum lunas")))</f>
      </c>
    </row>
    <row r="223" spans="1:9" x14ac:dyDescent="0.25">
      <c r="A223" s="12"/>
      <c r="B223" s="8"/>
      <c r="C223" s="8"/>
      <c r="D223" s="8"/>
      <c r="E223" s="13"/>
      <c r="F223" s="12"/>
      <c r="G223" s="13"/>
      <c r="H223" s="16">
        <f>IF(E223="","",E223-N(G223))</f>
      </c>
      <c r="I223" s="15">
        <f>IF(E223="","",IF(E223-N(G223)&lt;=0,"Lunas",IF(AND(F223&lt;&gt;"",F223&lt;TODAY()),"Terlambat","Belum lunas")))</f>
      </c>
    </row>
    <row r="224" spans="1:9" x14ac:dyDescent="0.25">
      <c r="A224" s="12"/>
      <c r="B224" s="8"/>
      <c r="C224" s="8"/>
      <c r="D224" s="8"/>
      <c r="E224" s="13"/>
      <c r="F224" s="12"/>
      <c r="G224" s="13"/>
      <c r="H224" s="16">
        <f>IF(E224="","",E224-N(G224))</f>
      </c>
      <c r="I224" s="15">
        <f>IF(E224="","",IF(E224-N(G224)&lt;=0,"Lunas",IF(AND(F224&lt;&gt;"",F224&lt;TODAY()),"Terlambat","Belum lunas")))</f>
      </c>
    </row>
    <row r="225" spans="1:9" x14ac:dyDescent="0.25">
      <c r="A225" s="12"/>
      <c r="B225" s="8"/>
      <c r="C225" s="8"/>
      <c r="D225" s="8"/>
      <c r="E225" s="13"/>
      <c r="F225" s="12"/>
      <c r="G225" s="13"/>
      <c r="H225" s="16">
        <f>IF(E225="","",E225-N(G225))</f>
      </c>
      <c r="I225" s="15">
        <f>IF(E225="","",IF(E225-N(G225)&lt;=0,"Lunas",IF(AND(F225&lt;&gt;"",F225&lt;TODAY()),"Terlambat","Belum lunas")))</f>
      </c>
    </row>
    <row r="226" spans="1:9" x14ac:dyDescent="0.25">
      <c r="A226" s="12"/>
      <c r="B226" s="8"/>
      <c r="C226" s="8"/>
      <c r="D226" s="8"/>
      <c r="E226" s="13"/>
      <c r="F226" s="12"/>
      <c r="G226" s="13"/>
      <c r="H226" s="16">
        <f>IF(E226="","",E226-N(G226))</f>
      </c>
      <c r="I226" s="15">
        <f>IF(E226="","",IF(E226-N(G226)&lt;=0,"Lunas",IF(AND(F226&lt;&gt;"",F226&lt;TODAY()),"Terlambat","Belum lunas")))</f>
      </c>
    </row>
    <row r="227" spans="1:9" x14ac:dyDescent="0.25">
      <c r="A227" s="12"/>
      <c r="B227" s="8"/>
      <c r="C227" s="8"/>
      <c r="D227" s="8"/>
      <c r="E227" s="13"/>
      <c r="F227" s="12"/>
      <c r="G227" s="13"/>
      <c r="H227" s="16">
        <f>IF(E227="","",E227-N(G227))</f>
      </c>
      <c r="I227" s="15">
        <f>IF(E227="","",IF(E227-N(G227)&lt;=0,"Lunas",IF(AND(F227&lt;&gt;"",F227&lt;TODAY()),"Terlambat","Belum lunas")))</f>
      </c>
    </row>
    <row r="228" spans="1:9" x14ac:dyDescent="0.25">
      <c r="A228" s="12"/>
      <c r="B228" s="8"/>
      <c r="C228" s="8"/>
      <c r="D228" s="8"/>
      <c r="E228" s="13"/>
      <c r="F228" s="12"/>
      <c r="G228" s="13"/>
      <c r="H228" s="16">
        <f>IF(E228="","",E228-N(G228))</f>
      </c>
      <c r="I228" s="15">
        <f>IF(E228="","",IF(E228-N(G228)&lt;=0,"Lunas",IF(AND(F228&lt;&gt;"",F228&lt;TODAY()),"Terlambat","Belum lunas")))</f>
      </c>
    </row>
    <row r="229" spans="1:9" x14ac:dyDescent="0.25">
      <c r="A229" s="12"/>
      <c r="B229" s="8"/>
      <c r="C229" s="8"/>
      <c r="D229" s="8"/>
      <c r="E229" s="13"/>
      <c r="F229" s="12"/>
      <c r="G229" s="13"/>
      <c r="H229" s="16">
        <f>IF(E229="","",E229-N(G229))</f>
      </c>
      <c r="I229" s="15">
        <f>IF(E229="","",IF(E229-N(G229)&lt;=0,"Lunas",IF(AND(F229&lt;&gt;"",F229&lt;TODAY()),"Terlambat","Belum lunas")))</f>
      </c>
    </row>
    <row r="230" spans="1:9" x14ac:dyDescent="0.25">
      <c r="A230" s="12"/>
      <c r="B230" s="8"/>
      <c r="C230" s="8"/>
      <c r="D230" s="8"/>
      <c r="E230" s="13"/>
      <c r="F230" s="12"/>
      <c r="G230" s="13"/>
      <c r="H230" s="16">
        <f>IF(E230="","",E230-N(G230))</f>
      </c>
      <c r="I230" s="15">
        <f>IF(E230="","",IF(E230-N(G230)&lt;=0,"Lunas",IF(AND(F230&lt;&gt;"",F230&lt;TODAY()),"Terlambat","Belum lunas")))</f>
      </c>
    </row>
    <row r="231" spans="1:9" x14ac:dyDescent="0.25">
      <c r="A231" s="12"/>
      <c r="B231" s="8"/>
      <c r="C231" s="8"/>
      <c r="D231" s="8"/>
      <c r="E231" s="13"/>
      <c r="F231" s="12"/>
      <c r="G231" s="13"/>
      <c r="H231" s="16">
        <f>IF(E231="","",E231-N(G231))</f>
      </c>
      <c r="I231" s="15">
        <f>IF(E231="","",IF(E231-N(G231)&lt;=0,"Lunas",IF(AND(F231&lt;&gt;"",F231&lt;TODAY()),"Terlambat","Belum lunas")))</f>
      </c>
    </row>
    <row r="232" spans="1:9" x14ac:dyDescent="0.25">
      <c r="A232" s="12"/>
      <c r="B232" s="8"/>
      <c r="C232" s="8"/>
      <c r="D232" s="8"/>
      <c r="E232" s="13"/>
      <c r="F232" s="12"/>
      <c r="G232" s="13"/>
      <c r="H232" s="16">
        <f>IF(E232="","",E232-N(G232))</f>
      </c>
      <c r="I232" s="15">
        <f>IF(E232="","",IF(E232-N(G232)&lt;=0,"Lunas",IF(AND(F232&lt;&gt;"",F232&lt;TODAY()),"Terlambat","Belum lunas")))</f>
      </c>
    </row>
    <row r="233" spans="1:9" x14ac:dyDescent="0.25">
      <c r="A233" s="12"/>
      <c r="B233" s="8"/>
      <c r="C233" s="8"/>
      <c r="D233" s="8"/>
      <c r="E233" s="13"/>
      <c r="F233" s="12"/>
      <c r="G233" s="13"/>
      <c r="H233" s="16">
        <f>IF(E233="","",E233-N(G233))</f>
      </c>
      <c r="I233" s="15">
        <f>IF(E233="","",IF(E233-N(G233)&lt;=0,"Lunas",IF(AND(F233&lt;&gt;"",F233&lt;TODAY()),"Terlambat","Belum lunas")))</f>
      </c>
    </row>
    <row r="234" spans="1:9" x14ac:dyDescent="0.25">
      <c r="A234" s="12"/>
      <c r="B234" s="8"/>
      <c r="C234" s="8"/>
      <c r="D234" s="8"/>
      <c r="E234" s="13"/>
      <c r="F234" s="12"/>
      <c r="G234" s="13"/>
      <c r="H234" s="16">
        <f>IF(E234="","",E234-N(G234))</f>
      </c>
      <c r="I234" s="15">
        <f>IF(E234="","",IF(E234-N(G234)&lt;=0,"Lunas",IF(AND(F234&lt;&gt;"",F234&lt;TODAY()),"Terlambat","Belum lunas")))</f>
      </c>
    </row>
    <row r="235" spans="1:9" x14ac:dyDescent="0.25">
      <c r="A235" s="12"/>
      <c r="B235" s="8"/>
      <c r="C235" s="8"/>
      <c r="D235" s="8"/>
      <c r="E235" s="13"/>
      <c r="F235" s="12"/>
      <c r="G235" s="13"/>
      <c r="H235" s="16">
        <f>IF(E235="","",E235-N(G235))</f>
      </c>
      <c r="I235" s="15">
        <f>IF(E235="","",IF(E235-N(G235)&lt;=0,"Lunas",IF(AND(F235&lt;&gt;"",F235&lt;TODAY()),"Terlambat","Belum lunas")))</f>
      </c>
    </row>
    <row r="236" spans="1:9" x14ac:dyDescent="0.25">
      <c r="A236" s="12"/>
      <c r="B236" s="8"/>
      <c r="C236" s="8"/>
      <c r="D236" s="8"/>
      <c r="E236" s="13"/>
      <c r="F236" s="12"/>
      <c r="G236" s="13"/>
      <c r="H236" s="16">
        <f>IF(E236="","",E236-N(G236))</f>
      </c>
      <c r="I236" s="15">
        <f>IF(E236="","",IF(E236-N(G236)&lt;=0,"Lunas",IF(AND(F236&lt;&gt;"",F236&lt;TODAY()),"Terlambat","Belum lunas")))</f>
      </c>
    </row>
    <row r="237" spans="1:9" x14ac:dyDescent="0.25">
      <c r="A237" s="12"/>
      <c r="B237" s="8"/>
      <c r="C237" s="8"/>
      <c r="D237" s="8"/>
      <c r="E237" s="13"/>
      <c r="F237" s="12"/>
      <c r="G237" s="13"/>
      <c r="H237" s="16">
        <f>IF(E237="","",E237-N(G237))</f>
      </c>
      <c r="I237" s="15">
        <f>IF(E237="","",IF(E237-N(G237)&lt;=0,"Lunas",IF(AND(F237&lt;&gt;"",F237&lt;TODAY()),"Terlambat","Belum lunas")))</f>
      </c>
    </row>
    <row r="238" spans="1:9" x14ac:dyDescent="0.25">
      <c r="A238" s="12"/>
      <c r="B238" s="8"/>
      <c r="C238" s="8"/>
      <c r="D238" s="8"/>
      <c r="E238" s="13"/>
      <c r="F238" s="12"/>
      <c r="G238" s="13"/>
      <c r="H238" s="16">
        <f>IF(E238="","",E238-N(G238))</f>
      </c>
      <c r="I238" s="15">
        <f>IF(E238="","",IF(E238-N(G238)&lt;=0,"Lunas",IF(AND(F238&lt;&gt;"",F238&lt;TODAY()),"Terlambat","Belum lunas")))</f>
      </c>
    </row>
    <row r="239" spans="1:9" x14ac:dyDescent="0.25">
      <c r="A239" s="12"/>
      <c r="B239" s="8"/>
      <c r="C239" s="8"/>
      <c r="D239" s="8"/>
      <c r="E239" s="13"/>
      <c r="F239" s="12"/>
      <c r="G239" s="13"/>
      <c r="H239" s="16">
        <f>IF(E239="","",E239-N(G239))</f>
      </c>
      <c r="I239" s="15">
        <f>IF(E239="","",IF(E239-N(G239)&lt;=0,"Lunas",IF(AND(F239&lt;&gt;"",F239&lt;TODAY()),"Terlambat","Belum lunas")))</f>
      </c>
    </row>
    <row r="240" spans="1:9" x14ac:dyDescent="0.25">
      <c r="A240" s="12"/>
      <c r="B240" s="8"/>
      <c r="C240" s="8"/>
      <c r="D240" s="8"/>
      <c r="E240" s="13"/>
      <c r="F240" s="12"/>
      <c r="G240" s="13"/>
      <c r="H240" s="16">
        <f>IF(E240="","",E240-N(G240))</f>
      </c>
      <c r="I240" s="15">
        <f>IF(E240="","",IF(E240-N(G240)&lt;=0,"Lunas",IF(AND(F240&lt;&gt;"",F240&lt;TODAY()),"Terlambat","Belum lunas")))</f>
      </c>
    </row>
    <row r="241" spans="1:9" x14ac:dyDescent="0.25">
      <c r="A241" s="12"/>
      <c r="B241" s="8"/>
      <c r="C241" s="8"/>
      <c r="D241" s="8"/>
      <c r="E241" s="13"/>
      <c r="F241" s="12"/>
      <c r="G241" s="13"/>
      <c r="H241" s="16">
        <f>IF(E241="","",E241-N(G241))</f>
      </c>
      <c r="I241" s="15">
        <f>IF(E241="","",IF(E241-N(G241)&lt;=0,"Lunas",IF(AND(F241&lt;&gt;"",F241&lt;TODAY()),"Terlambat","Belum lunas")))</f>
      </c>
    </row>
    <row r="242" spans="1:9" x14ac:dyDescent="0.25">
      <c r="A242" s="12"/>
      <c r="B242" s="8"/>
      <c r="C242" s="8"/>
      <c r="D242" s="8"/>
      <c r="E242" s="13"/>
      <c r="F242" s="12"/>
      <c r="G242" s="13"/>
      <c r="H242" s="16">
        <f>IF(E242="","",E242-N(G242))</f>
      </c>
      <c r="I242" s="15">
        <f>IF(E242="","",IF(E242-N(G242)&lt;=0,"Lunas",IF(AND(F242&lt;&gt;"",F242&lt;TODAY()),"Terlambat","Belum lunas")))</f>
      </c>
    </row>
    <row r="243" spans="1:9" x14ac:dyDescent="0.25">
      <c r="A243" s="12"/>
      <c r="B243" s="8"/>
      <c r="C243" s="8"/>
      <c r="D243" s="8"/>
      <c r="E243" s="13"/>
      <c r="F243" s="12"/>
      <c r="G243" s="13"/>
      <c r="H243" s="16">
        <f>IF(E243="","",E243-N(G243))</f>
      </c>
      <c r="I243" s="15">
        <f>IF(E243="","",IF(E243-N(G243)&lt;=0,"Lunas",IF(AND(F243&lt;&gt;"",F243&lt;TODAY()),"Terlambat","Belum lunas")))</f>
      </c>
    </row>
    <row r="244" spans="1:9" x14ac:dyDescent="0.25">
      <c r="A244" s="12"/>
      <c r="B244" s="8"/>
      <c r="C244" s="8"/>
      <c r="D244" s="8"/>
      <c r="E244" s="13"/>
      <c r="F244" s="12"/>
      <c r="G244" s="13"/>
      <c r="H244" s="16">
        <f>IF(E244="","",E244-N(G244))</f>
      </c>
      <c r="I244" s="15">
        <f>IF(E244="","",IF(E244-N(G244)&lt;=0,"Lunas",IF(AND(F244&lt;&gt;"",F244&lt;TODAY()),"Terlambat","Belum lunas")))</f>
      </c>
    </row>
    <row r="245" spans="1:9" x14ac:dyDescent="0.25">
      <c r="A245" s="12"/>
      <c r="B245" s="8"/>
      <c r="C245" s="8"/>
      <c r="D245" s="8"/>
      <c r="E245" s="13"/>
      <c r="F245" s="12"/>
      <c r="G245" s="13"/>
      <c r="H245" s="16">
        <f>IF(E245="","",E245-N(G245))</f>
      </c>
      <c r="I245" s="15">
        <f>IF(E245="","",IF(E245-N(G245)&lt;=0,"Lunas",IF(AND(F245&lt;&gt;"",F245&lt;TODAY()),"Terlambat","Belum lunas")))</f>
      </c>
    </row>
    <row r="246" spans="1:9" x14ac:dyDescent="0.25">
      <c r="A246" s="12"/>
      <c r="B246" s="8"/>
      <c r="C246" s="8"/>
      <c r="D246" s="8"/>
      <c r="E246" s="13"/>
      <c r="F246" s="12"/>
      <c r="G246" s="13"/>
      <c r="H246" s="16">
        <f>IF(E246="","",E246-N(G246))</f>
      </c>
      <c r="I246" s="15">
        <f>IF(E246="","",IF(E246-N(G246)&lt;=0,"Lunas",IF(AND(F246&lt;&gt;"",F246&lt;TODAY()),"Terlambat","Belum lunas")))</f>
      </c>
    </row>
    <row r="247" spans="1:9" x14ac:dyDescent="0.25">
      <c r="A247" s="12"/>
      <c r="B247" s="8"/>
      <c r="C247" s="8"/>
      <c r="D247" s="8"/>
      <c r="E247" s="13"/>
      <c r="F247" s="12"/>
      <c r="G247" s="13"/>
      <c r="H247" s="16">
        <f>IF(E247="","",E247-N(G247))</f>
      </c>
      <c r="I247" s="15">
        <f>IF(E247="","",IF(E247-N(G247)&lt;=0,"Lunas",IF(AND(F247&lt;&gt;"",F247&lt;TODAY()),"Terlambat","Belum lunas")))</f>
      </c>
    </row>
    <row r="248" spans="1:9" x14ac:dyDescent="0.25">
      <c r="A248" s="12"/>
      <c r="B248" s="8"/>
      <c r="C248" s="8"/>
      <c r="D248" s="8"/>
      <c r="E248" s="13"/>
      <c r="F248" s="12"/>
      <c r="G248" s="13"/>
      <c r="H248" s="16">
        <f>IF(E248="","",E248-N(G248))</f>
      </c>
      <c r="I248" s="15">
        <f>IF(E248="","",IF(E248-N(G248)&lt;=0,"Lunas",IF(AND(F248&lt;&gt;"",F248&lt;TODAY()),"Terlambat","Belum lunas")))</f>
      </c>
    </row>
    <row r="249" spans="1:9" x14ac:dyDescent="0.25">
      <c r="A249" s="12"/>
      <c r="B249" s="8"/>
      <c r="C249" s="8"/>
      <c r="D249" s="8"/>
      <c r="E249" s="13"/>
      <c r="F249" s="12"/>
      <c r="G249" s="13"/>
      <c r="H249" s="16">
        <f>IF(E249="","",E249-N(G249))</f>
      </c>
      <c r="I249" s="15">
        <f>IF(E249="","",IF(E249-N(G249)&lt;=0,"Lunas",IF(AND(F249&lt;&gt;"",F249&lt;TODAY()),"Terlambat","Belum lunas")))</f>
      </c>
    </row>
    <row r="250" spans="1:9" x14ac:dyDescent="0.25">
      <c r="A250" s="12"/>
      <c r="B250" s="8"/>
      <c r="C250" s="8"/>
      <c r="D250" s="8"/>
      <c r="E250" s="13"/>
      <c r="F250" s="12"/>
      <c r="G250" s="13"/>
      <c r="H250" s="16">
        <f>IF(E250="","",E250-N(G250))</f>
      </c>
      <c r="I250" s="15">
        <f>IF(E250="","",IF(E250-N(G250)&lt;=0,"Lunas",IF(AND(F250&lt;&gt;"",F250&lt;TODAY()),"Terlambat","Belum lunas")))</f>
      </c>
    </row>
    <row r="251" spans="1:9" x14ac:dyDescent="0.25">
      <c r="A251" s="12"/>
      <c r="B251" s="8"/>
      <c r="C251" s="8"/>
      <c r="D251" s="8"/>
      <c r="E251" s="13"/>
      <c r="F251" s="12"/>
      <c r="G251" s="13"/>
      <c r="H251" s="16">
        <f>IF(E251="","",E251-N(G251))</f>
      </c>
      <c r="I251" s="15">
        <f>IF(E251="","",IF(E251-N(G251)&lt;=0,"Lunas",IF(AND(F251&lt;&gt;"",F251&lt;TODAY()),"Terlambat","Belum lunas")))</f>
      </c>
    </row>
    <row r="252" spans="1:9" x14ac:dyDescent="0.25">
      <c r="A252" s="12"/>
      <c r="B252" s="8"/>
      <c r="C252" s="8"/>
      <c r="D252" s="8"/>
      <c r="E252" s="13"/>
      <c r="F252" s="12"/>
      <c r="G252" s="13"/>
      <c r="H252" s="16">
        <f>IF(E252="","",E252-N(G252))</f>
      </c>
      <c r="I252" s="15">
        <f>IF(E252="","",IF(E252-N(G252)&lt;=0,"Lunas",IF(AND(F252&lt;&gt;"",F252&lt;TODAY()),"Terlambat","Belum lunas")))</f>
      </c>
    </row>
    <row r="253" spans="1:9" x14ac:dyDescent="0.25">
      <c r="A253" s="12"/>
      <c r="B253" s="8"/>
      <c r="C253" s="8"/>
      <c r="D253" s="8"/>
      <c r="E253" s="13"/>
      <c r="F253" s="12"/>
      <c r="G253" s="13"/>
      <c r="H253" s="16">
        <f>IF(E253="","",E253-N(G253))</f>
      </c>
      <c r="I253" s="15">
        <f>IF(E253="","",IF(E253-N(G253)&lt;=0,"Lunas",IF(AND(F253&lt;&gt;"",F253&lt;TODAY()),"Terlambat","Belum lunas")))</f>
      </c>
    </row>
    <row r="254" spans="1:9" x14ac:dyDescent="0.25">
      <c r="A254" s="12"/>
      <c r="B254" s="8"/>
      <c r="C254" s="8"/>
      <c r="D254" s="8"/>
      <c r="E254" s="13"/>
      <c r="F254" s="12"/>
      <c r="G254" s="13"/>
      <c r="H254" s="16">
        <f>IF(E254="","",E254-N(G254))</f>
      </c>
      <c r="I254" s="15">
        <f>IF(E254="","",IF(E254-N(G254)&lt;=0,"Lunas",IF(AND(F254&lt;&gt;"",F254&lt;TODAY()),"Terlambat","Belum lunas")))</f>
      </c>
    </row>
    <row r="255" spans="1:9" x14ac:dyDescent="0.25">
      <c r="A255" s="12"/>
      <c r="B255" s="8"/>
      <c r="C255" s="8"/>
      <c r="D255" s="8"/>
      <c r="E255" s="13"/>
      <c r="F255" s="12"/>
      <c r="G255" s="13"/>
      <c r="H255" s="16">
        <f>IF(E255="","",E255-N(G255))</f>
      </c>
      <c r="I255" s="15">
        <f>IF(E255="","",IF(E255-N(G255)&lt;=0,"Lunas",IF(AND(F255&lt;&gt;"",F255&lt;TODAY()),"Terlambat","Belum lunas")))</f>
      </c>
    </row>
    <row r="256" spans="1:9" x14ac:dyDescent="0.25">
      <c r="A256" s="12"/>
      <c r="B256" s="8"/>
      <c r="C256" s="8"/>
      <c r="D256" s="8"/>
      <c r="E256" s="13"/>
      <c r="F256" s="12"/>
      <c r="G256" s="13"/>
      <c r="H256" s="16">
        <f>IF(E256="","",E256-N(G256))</f>
      </c>
      <c r="I256" s="15">
        <f>IF(E256="","",IF(E256-N(G256)&lt;=0,"Lunas",IF(AND(F256&lt;&gt;"",F256&lt;TODAY()),"Terlambat","Belum lunas")))</f>
      </c>
    </row>
    <row r="257" spans="1:9" x14ac:dyDescent="0.25">
      <c r="A257" s="12"/>
      <c r="B257" s="8"/>
      <c r="C257" s="8"/>
      <c r="D257" s="8"/>
      <c r="E257" s="13"/>
      <c r="F257" s="12"/>
      <c r="G257" s="13"/>
      <c r="H257" s="16">
        <f>IF(E257="","",E257-N(G257))</f>
      </c>
      <c r="I257" s="15">
        <f>IF(E257="","",IF(E257-N(G257)&lt;=0,"Lunas",IF(AND(F257&lt;&gt;"",F257&lt;TODAY()),"Terlambat","Belum lunas")))</f>
      </c>
    </row>
    <row r="258" spans="1:9" x14ac:dyDescent="0.25">
      <c r="A258" s="12"/>
      <c r="B258" s="8"/>
      <c r="C258" s="8"/>
      <c r="D258" s="8"/>
      <c r="E258" s="13"/>
      <c r="F258" s="12"/>
      <c r="G258" s="13"/>
      <c r="H258" s="16">
        <f>IF(E258="","",E258-N(G258))</f>
      </c>
      <c r="I258" s="15">
        <f>IF(E258="","",IF(E258-N(G258)&lt;=0,"Lunas",IF(AND(F258&lt;&gt;"",F258&lt;TODAY()),"Terlambat","Belum lunas")))</f>
      </c>
    </row>
    <row r="259" spans="1:9" x14ac:dyDescent="0.25">
      <c r="A259" s="12"/>
      <c r="B259" s="8"/>
      <c r="C259" s="8"/>
      <c r="D259" s="8"/>
      <c r="E259" s="13"/>
      <c r="F259" s="12"/>
      <c r="G259" s="13"/>
      <c r="H259" s="16">
        <f>IF(E259="","",E259-N(G259))</f>
      </c>
      <c r="I259" s="15">
        <f>IF(E259="","",IF(E259-N(G259)&lt;=0,"Lunas",IF(AND(F259&lt;&gt;"",F259&lt;TODAY()),"Terlambat","Belum lunas")))</f>
      </c>
    </row>
    <row r="260" spans="1:9" x14ac:dyDescent="0.25">
      <c r="A260" s="12"/>
      <c r="B260" s="8"/>
      <c r="C260" s="8"/>
      <c r="D260" s="8"/>
      <c r="E260" s="13"/>
      <c r="F260" s="12"/>
      <c r="G260" s="13"/>
      <c r="H260" s="16">
        <f>IF(E260="","",E260-N(G260))</f>
      </c>
      <c r="I260" s="15">
        <f>IF(E260="","",IF(E260-N(G260)&lt;=0,"Lunas",IF(AND(F260&lt;&gt;"",F260&lt;TODAY()),"Terlambat","Belum lunas")))</f>
      </c>
    </row>
    <row r="261" spans="1:9" x14ac:dyDescent="0.25">
      <c r="A261" s="12"/>
      <c r="B261" s="8"/>
      <c r="C261" s="8"/>
      <c r="D261" s="8"/>
      <c r="E261" s="13"/>
      <c r="F261" s="12"/>
      <c r="G261" s="13"/>
      <c r="H261" s="16">
        <f>IF(E261="","",E261-N(G261))</f>
      </c>
      <c r="I261" s="15">
        <f>IF(E261="","",IF(E261-N(G261)&lt;=0,"Lunas",IF(AND(F261&lt;&gt;"",F261&lt;TODAY()),"Terlambat","Belum lunas")))</f>
      </c>
    </row>
    <row r="262" spans="1:9" x14ac:dyDescent="0.25">
      <c r="A262" s="12"/>
      <c r="B262" s="8"/>
      <c r="C262" s="8"/>
      <c r="D262" s="8"/>
      <c r="E262" s="13"/>
      <c r="F262" s="12"/>
      <c r="G262" s="13"/>
      <c r="H262" s="16">
        <f>IF(E262="","",E262-N(G262))</f>
      </c>
      <c r="I262" s="15">
        <f>IF(E262="","",IF(E262-N(G262)&lt;=0,"Lunas",IF(AND(F262&lt;&gt;"",F262&lt;TODAY()),"Terlambat","Belum lunas")))</f>
      </c>
    </row>
    <row r="263" spans="1:9" x14ac:dyDescent="0.25">
      <c r="A263" s="12"/>
      <c r="B263" s="8"/>
      <c r="C263" s="8"/>
      <c r="D263" s="8"/>
      <c r="E263" s="13"/>
      <c r="F263" s="12"/>
      <c r="G263" s="13"/>
      <c r="H263" s="16">
        <f>IF(E263="","",E263-N(G263))</f>
      </c>
      <c r="I263" s="15">
        <f>IF(E263="","",IF(E263-N(G263)&lt;=0,"Lunas",IF(AND(F263&lt;&gt;"",F263&lt;TODAY()),"Terlambat","Belum lunas")))</f>
      </c>
    </row>
    <row r="264" spans="1:9" x14ac:dyDescent="0.25">
      <c r="A264" s="12"/>
      <c r="B264" s="8"/>
      <c r="C264" s="8"/>
      <c r="D264" s="8"/>
      <c r="E264" s="13"/>
      <c r="F264" s="12"/>
      <c r="G264" s="13"/>
      <c r="H264" s="16">
        <f>IF(E264="","",E264-N(G264))</f>
      </c>
      <c r="I264" s="15">
        <f>IF(E264="","",IF(E264-N(G264)&lt;=0,"Lunas",IF(AND(F264&lt;&gt;"",F264&lt;TODAY()),"Terlambat","Belum lunas")))</f>
      </c>
    </row>
    <row r="265" spans="1:9" x14ac:dyDescent="0.25">
      <c r="A265" s="12"/>
      <c r="B265" s="8"/>
      <c r="C265" s="8"/>
      <c r="D265" s="8"/>
      <c r="E265" s="13"/>
      <c r="F265" s="12"/>
      <c r="G265" s="13"/>
      <c r="H265" s="16">
        <f>IF(E265="","",E265-N(G265))</f>
      </c>
      <c r="I265" s="15">
        <f>IF(E265="","",IF(E265-N(G265)&lt;=0,"Lunas",IF(AND(F265&lt;&gt;"",F265&lt;TODAY()),"Terlambat","Belum lunas")))</f>
      </c>
    </row>
    <row r="266" spans="1:9" x14ac:dyDescent="0.25">
      <c r="A266" s="12"/>
      <c r="B266" s="8"/>
      <c r="C266" s="8"/>
      <c r="D266" s="8"/>
      <c r="E266" s="13"/>
      <c r="F266" s="12"/>
      <c r="G266" s="13"/>
      <c r="H266" s="16">
        <f>IF(E266="","",E266-N(G266))</f>
      </c>
      <c r="I266" s="15">
        <f>IF(E266="","",IF(E266-N(G266)&lt;=0,"Lunas",IF(AND(F266&lt;&gt;"",F266&lt;TODAY()),"Terlambat","Belum lunas")))</f>
      </c>
    </row>
    <row r="267" spans="1:9" x14ac:dyDescent="0.25">
      <c r="A267" s="12"/>
      <c r="B267" s="8"/>
      <c r="C267" s="8"/>
      <c r="D267" s="8"/>
      <c r="E267" s="13"/>
      <c r="F267" s="12"/>
      <c r="G267" s="13"/>
      <c r="H267" s="16">
        <f>IF(E267="","",E267-N(G267))</f>
      </c>
      <c r="I267" s="15">
        <f>IF(E267="","",IF(E267-N(G267)&lt;=0,"Lunas",IF(AND(F267&lt;&gt;"",F267&lt;TODAY()),"Terlambat","Belum lunas")))</f>
      </c>
    </row>
    <row r="268" spans="1:9" x14ac:dyDescent="0.25">
      <c r="A268" s="12"/>
      <c r="B268" s="8"/>
      <c r="C268" s="8"/>
      <c r="D268" s="8"/>
      <c r="E268" s="13"/>
      <c r="F268" s="12"/>
      <c r="G268" s="13"/>
      <c r="H268" s="16">
        <f>IF(E268="","",E268-N(G268))</f>
      </c>
      <c r="I268" s="15">
        <f>IF(E268="","",IF(E268-N(G268)&lt;=0,"Lunas",IF(AND(F268&lt;&gt;"",F268&lt;TODAY()),"Terlambat","Belum lunas")))</f>
      </c>
    </row>
    <row r="269" spans="1:9" x14ac:dyDescent="0.25">
      <c r="A269" s="12"/>
      <c r="B269" s="8"/>
      <c r="C269" s="8"/>
      <c r="D269" s="8"/>
      <c r="E269" s="13"/>
      <c r="F269" s="12"/>
      <c r="G269" s="13"/>
      <c r="H269" s="16">
        <f>IF(E269="","",E269-N(G269))</f>
      </c>
      <c r="I269" s="15">
        <f>IF(E269="","",IF(E269-N(G269)&lt;=0,"Lunas",IF(AND(F269&lt;&gt;"",F269&lt;TODAY()),"Terlambat","Belum lunas")))</f>
      </c>
    </row>
    <row r="270" spans="1:9" x14ac:dyDescent="0.25">
      <c r="A270" s="12"/>
      <c r="B270" s="8"/>
      <c r="C270" s="8"/>
      <c r="D270" s="8"/>
      <c r="E270" s="13"/>
      <c r="F270" s="12"/>
      <c r="G270" s="13"/>
      <c r="H270" s="16">
        <f>IF(E270="","",E270-N(G270))</f>
      </c>
      <c r="I270" s="15">
        <f>IF(E270="","",IF(E270-N(G270)&lt;=0,"Lunas",IF(AND(F270&lt;&gt;"",F270&lt;TODAY()),"Terlambat","Belum lunas")))</f>
      </c>
    </row>
    <row r="271" spans="1:9" x14ac:dyDescent="0.25">
      <c r="A271" s="12"/>
      <c r="B271" s="8"/>
      <c r="C271" s="8"/>
      <c r="D271" s="8"/>
      <c r="E271" s="13"/>
      <c r="F271" s="12"/>
      <c r="G271" s="13"/>
      <c r="H271" s="16">
        <f>IF(E271="","",E271-N(G271))</f>
      </c>
      <c r="I271" s="15">
        <f>IF(E271="","",IF(E271-N(G271)&lt;=0,"Lunas",IF(AND(F271&lt;&gt;"",F271&lt;TODAY()),"Terlambat","Belum lunas")))</f>
      </c>
    </row>
    <row r="272" spans="1:9" x14ac:dyDescent="0.25">
      <c r="A272" s="12"/>
      <c r="B272" s="8"/>
      <c r="C272" s="8"/>
      <c r="D272" s="8"/>
      <c r="E272" s="13"/>
      <c r="F272" s="12"/>
      <c r="G272" s="13"/>
      <c r="H272" s="16">
        <f>IF(E272="","",E272-N(G272))</f>
      </c>
      <c r="I272" s="15">
        <f>IF(E272="","",IF(E272-N(G272)&lt;=0,"Lunas",IF(AND(F272&lt;&gt;"",F272&lt;TODAY()),"Terlambat","Belum lunas")))</f>
      </c>
    </row>
    <row r="273" spans="1:9" x14ac:dyDescent="0.25">
      <c r="A273" s="12"/>
      <c r="B273" s="8"/>
      <c r="C273" s="8"/>
      <c r="D273" s="8"/>
      <c r="E273" s="13"/>
      <c r="F273" s="12"/>
      <c r="G273" s="13"/>
      <c r="H273" s="16">
        <f>IF(E273="","",E273-N(G273))</f>
      </c>
      <c r="I273" s="15">
        <f>IF(E273="","",IF(E273-N(G273)&lt;=0,"Lunas",IF(AND(F273&lt;&gt;"",F273&lt;TODAY()),"Terlambat","Belum lunas")))</f>
      </c>
    </row>
    <row r="274" spans="1:9" x14ac:dyDescent="0.25">
      <c r="A274" s="12"/>
      <c r="B274" s="8"/>
      <c r="C274" s="8"/>
      <c r="D274" s="8"/>
      <c r="E274" s="13"/>
      <c r="F274" s="12"/>
      <c r="G274" s="13"/>
      <c r="H274" s="16">
        <f>IF(E274="","",E274-N(G274))</f>
      </c>
      <c r="I274" s="15">
        <f>IF(E274="","",IF(E274-N(G274)&lt;=0,"Lunas",IF(AND(F274&lt;&gt;"",F274&lt;TODAY()),"Terlambat","Belum lunas")))</f>
      </c>
    </row>
    <row r="275" spans="1:9" x14ac:dyDescent="0.25">
      <c r="A275" s="12"/>
      <c r="B275" s="8"/>
      <c r="C275" s="8"/>
      <c r="D275" s="8"/>
      <c r="E275" s="13"/>
      <c r="F275" s="12"/>
      <c r="G275" s="13"/>
      <c r="H275" s="16">
        <f>IF(E275="","",E275-N(G275))</f>
      </c>
      <c r="I275" s="15">
        <f>IF(E275="","",IF(E275-N(G275)&lt;=0,"Lunas",IF(AND(F275&lt;&gt;"",F275&lt;TODAY()),"Terlambat","Belum lunas")))</f>
      </c>
    </row>
    <row r="276" spans="1:9" x14ac:dyDescent="0.25">
      <c r="A276" s="12"/>
      <c r="B276" s="8"/>
      <c r="C276" s="8"/>
      <c r="D276" s="8"/>
      <c r="E276" s="13"/>
      <c r="F276" s="12"/>
      <c r="G276" s="13"/>
      <c r="H276" s="16">
        <f>IF(E276="","",E276-N(G276))</f>
      </c>
      <c r="I276" s="15">
        <f>IF(E276="","",IF(E276-N(G276)&lt;=0,"Lunas",IF(AND(F276&lt;&gt;"",F276&lt;TODAY()),"Terlambat","Belum lunas")))</f>
      </c>
    </row>
    <row r="277" spans="1:9" x14ac:dyDescent="0.25">
      <c r="A277" s="12"/>
      <c r="B277" s="8"/>
      <c r="C277" s="8"/>
      <c r="D277" s="8"/>
      <c r="E277" s="13"/>
      <c r="F277" s="12"/>
      <c r="G277" s="13"/>
      <c r="H277" s="16">
        <f>IF(E277="","",E277-N(G277))</f>
      </c>
      <c r="I277" s="15">
        <f>IF(E277="","",IF(E277-N(G277)&lt;=0,"Lunas",IF(AND(F277&lt;&gt;"",F277&lt;TODAY()),"Terlambat","Belum lunas")))</f>
      </c>
    </row>
    <row r="278" spans="1:9" x14ac:dyDescent="0.25">
      <c r="A278" s="12"/>
      <c r="B278" s="8"/>
      <c r="C278" s="8"/>
      <c r="D278" s="8"/>
      <c r="E278" s="13"/>
      <c r="F278" s="12"/>
      <c r="G278" s="13"/>
      <c r="H278" s="16">
        <f>IF(E278="","",E278-N(G278))</f>
      </c>
      <c r="I278" s="15">
        <f>IF(E278="","",IF(E278-N(G278)&lt;=0,"Lunas",IF(AND(F278&lt;&gt;"",F278&lt;TODAY()),"Terlambat","Belum lunas")))</f>
      </c>
    </row>
    <row r="279" spans="1:9" x14ac:dyDescent="0.25">
      <c r="A279" s="12"/>
      <c r="B279" s="8"/>
      <c r="C279" s="8"/>
      <c r="D279" s="8"/>
      <c r="E279" s="13"/>
      <c r="F279" s="12"/>
      <c r="G279" s="13"/>
      <c r="H279" s="16">
        <f>IF(E279="","",E279-N(G279))</f>
      </c>
      <c r="I279" s="15">
        <f>IF(E279="","",IF(E279-N(G279)&lt;=0,"Lunas",IF(AND(F279&lt;&gt;"",F279&lt;TODAY()),"Terlambat","Belum lunas")))</f>
      </c>
    </row>
    <row r="280" spans="1:9" x14ac:dyDescent="0.25">
      <c r="A280" s="12"/>
      <c r="B280" s="8"/>
      <c r="C280" s="8"/>
      <c r="D280" s="8"/>
      <c r="E280" s="13"/>
      <c r="F280" s="12"/>
      <c r="G280" s="13"/>
      <c r="H280" s="16">
        <f>IF(E280="","",E280-N(G280))</f>
      </c>
      <c r="I280" s="15">
        <f>IF(E280="","",IF(E280-N(G280)&lt;=0,"Lunas",IF(AND(F280&lt;&gt;"",F280&lt;TODAY()),"Terlambat","Belum lunas")))</f>
      </c>
    </row>
    <row r="281" spans="1:9" x14ac:dyDescent="0.25">
      <c r="A281" s="12"/>
      <c r="B281" s="8"/>
      <c r="C281" s="8"/>
      <c r="D281" s="8"/>
      <c r="E281" s="13"/>
      <c r="F281" s="12"/>
      <c r="G281" s="13"/>
      <c r="H281" s="16">
        <f>IF(E281="","",E281-N(G281))</f>
      </c>
      <c r="I281" s="15">
        <f>IF(E281="","",IF(E281-N(G281)&lt;=0,"Lunas",IF(AND(F281&lt;&gt;"",F281&lt;TODAY()),"Terlambat","Belum lunas")))</f>
      </c>
    </row>
    <row r="282" spans="1:9" x14ac:dyDescent="0.25">
      <c r="A282" s="12"/>
      <c r="B282" s="8"/>
      <c r="C282" s="8"/>
      <c r="D282" s="8"/>
      <c r="E282" s="13"/>
      <c r="F282" s="12"/>
      <c r="G282" s="13"/>
      <c r="H282" s="16">
        <f>IF(E282="","",E282-N(G282))</f>
      </c>
      <c r="I282" s="15">
        <f>IF(E282="","",IF(E282-N(G282)&lt;=0,"Lunas",IF(AND(F282&lt;&gt;"",F282&lt;TODAY()),"Terlambat","Belum lunas")))</f>
      </c>
    </row>
    <row r="283" spans="1:9" x14ac:dyDescent="0.25">
      <c r="A283" s="12"/>
      <c r="B283" s="8"/>
      <c r="C283" s="8"/>
      <c r="D283" s="8"/>
      <c r="E283" s="13"/>
      <c r="F283" s="12"/>
      <c r="G283" s="13"/>
      <c r="H283" s="16">
        <f>IF(E283="","",E283-N(G283))</f>
      </c>
      <c r="I283" s="15">
        <f>IF(E283="","",IF(E283-N(G283)&lt;=0,"Lunas",IF(AND(F283&lt;&gt;"",F283&lt;TODAY()),"Terlambat","Belum lunas")))</f>
      </c>
    </row>
    <row r="284" spans="1:9" x14ac:dyDescent="0.25">
      <c r="A284" s="12"/>
      <c r="B284" s="8"/>
      <c r="C284" s="8"/>
      <c r="D284" s="8"/>
      <c r="E284" s="13"/>
      <c r="F284" s="12"/>
      <c r="G284" s="13"/>
      <c r="H284" s="16">
        <f>IF(E284="","",E284-N(G284))</f>
      </c>
      <c r="I284" s="15">
        <f>IF(E284="","",IF(E284-N(G284)&lt;=0,"Lunas",IF(AND(F284&lt;&gt;"",F284&lt;TODAY()),"Terlambat","Belum lunas")))</f>
      </c>
    </row>
    <row r="285" spans="1:9" x14ac:dyDescent="0.25">
      <c r="A285" s="12"/>
      <c r="B285" s="8"/>
      <c r="C285" s="8"/>
      <c r="D285" s="8"/>
      <c r="E285" s="13"/>
      <c r="F285" s="12"/>
      <c r="G285" s="13"/>
      <c r="H285" s="16">
        <f>IF(E285="","",E285-N(G285))</f>
      </c>
      <c r="I285" s="15">
        <f>IF(E285="","",IF(E285-N(G285)&lt;=0,"Lunas",IF(AND(F285&lt;&gt;"",F285&lt;TODAY()),"Terlambat","Belum lunas")))</f>
      </c>
    </row>
    <row r="286" spans="1:9" x14ac:dyDescent="0.25">
      <c r="A286" s="12"/>
      <c r="B286" s="8"/>
      <c r="C286" s="8"/>
      <c r="D286" s="8"/>
      <c r="E286" s="13"/>
      <c r="F286" s="12"/>
      <c r="G286" s="13"/>
      <c r="H286" s="16">
        <f>IF(E286="","",E286-N(G286))</f>
      </c>
      <c r="I286" s="15">
        <f>IF(E286="","",IF(E286-N(G286)&lt;=0,"Lunas",IF(AND(F286&lt;&gt;"",F286&lt;TODAY()),"Terlambat","Belum lunas")))</f>
      </c>
    </row>
    <row r="287" spans="1:9" x14ac:dyDescent="0.25">
      <c r="A287" s="12"/>
      <c r="B287" s="8"/>
      <c r="C287" s="8"/>
      <c r="D287" s="8"/>
      <c r="E287" s="13"/>
      <c r="F287" s="12"/>
      <c r="G287" s="13"/>
      <c r="H287" s="16">
        <f>IF(E287="","",E287-N(G287))</f>
      </c>
      <c r="I287" s="15">
        <f>IF(E287="","",IF(E287-N(G287)&lt;=0,"Lunas",IF(AND(F287&lt;&gt;"",F287&lt;TODAY()),"Terlambat","Belum lunas")))</f>
      </c>
    </row>
    <row r="288" spans="1:9" x14ac:dyDescent="0.25">
      <c r="A288" s="12"/>
      <c r="B288" s="8"/>
      <c r="C288" s="8"/>
      <c r="D288" s="8"/>
      <c r="E288" s="13"/>
      <c r="F288" s="12"/>
      <c r="G288" s="13"/>
      <c r="H288" s="16">
        <f>IF(E288="","",E288-N(G288))</f>
      </c>
      <c r="I288" s="15">
        <f>IF(E288="","",IF(E288-N(G288)&lt;=0,"Lunas",IF(AND(F288&lt;&gt;"",F288&lt;TODAY()),"Terlambat","Belum lunas")))</f>
      </c>
    </row>
    <row r="289" spans="1:9" x14ac:dyDescent="0.25">
      <c r="A289" s="12"/>
      <c r="B289" s="8"/>
      <c r="C289" s="8"/>
      <c r="D289" s="8"/>
      <c r="E289" s="13"/>
      <c r="F289" s="12"/>
      <c r="G289" s="13"/>
      <c r="H289" s="16">
        <f>IF(E289="","",E289-N(G289))</f>
      </c>
      <c r="I289" s="15">
        <f>IF(E289="","",IF(E289-N(G289)&lt;=0,"Lunas",IF(AND(F289&lt;&gt;"",F289&lt;TODAY()),"Terlambat","Belum lunas")))</f>
      </c>
    </row>
    <row r="290" spans="1:9" x14ac:dyDescent="0.25">
      <c r="A290" s="12"/>
      <c r="B290" s="8"/>
      <c r="C290" s="8"/>
      <c r="D290" s="8"/>
      <c r="E290" s="13"/>
      <c r="F290" s="12"/>
      <c r="G290" s="13"/>
      <c r="H290" s="16">
        <f>IF(E290="","",E290-N(G290))</f>
      </c>
      <c r="I290" s="15">
        <f>IF(E290="","",IF(E290-N(G290)&lt;=0,"Lunas",IF(AND(F290&lt;&gt;"",F290&lt;TODAY()),"Terlambat","Belum lunas")))</f>
      </c>
    </row>
    <row r="291" spans="1:9" x14ac:dyDescent="0.25">
      <c r="A291" s="12"/>
      <c r="B291" s="8"/>
      <c r="C291" s="8"/>
      <c r="D291" s="8"/>
      <c r="E291" s="13"/>
      <c r="F291" s="12"/>
      <c r="G291" s="13"/>
      <c r="H291" s="16">
        <f>IF(E291="","",E291-N(G291))</f>
      </c>
      <c r="I291" s="15">
        <f>IF(E291="","",IF(E291-N(G291)&lt;=0,"Lunas",IF(AND(F291&lt;&gt;"",F291&lt;TODAY()),"Terlambat","Belum lunas")))</f>
      </c>
    </row>
    <row r="292" spans="1:9" x14ac:dyDescent="0.25">
      <c r="A292" s="12"/>
      <c r="B292" s="8"/>
      <c r="C292" s="8"/>
      <c r="D292" s="8"/>
      <c r="E292" s="13"/>
      <c r="F292" s="12"/>
      <c r="G292" s="13"/>
      <c r="H292" s="16">
        <f>IF(E292="","",E292-N(G292))</f>
      </c>
      <c r="I292" s="15">
        <f>IF(E292="","",IF(E292-N(G292)&lt;=0,"Lunas",IF(AND(F292&lt;&gt;"",F292&lt;TODAY()),"Terlambat","Belum lunas")))</f>
      </c>
    </row>
    <row r="293" spans="1:9" x14ac:dyDescent="0.25">
      <c r="A293" s="12"/>
      <c r="B293" s="8"/>
      <c r="C293" s="8"/>
      <c r="D293" s="8"/>
      <c r="E293" s="13"/>
      <c r="F293" s="12"/>
      <c r="G293" s="13"/>
      <c r="H293" s="16">
        <f>IF(E293="","",E293-N(G293))</f>
      </c>
      <c r="I293" s="15">
        <f>IF(E293="","",IF(E293-N(G293)&lt;=0,"Lunas",IF(AND(F293&lt;&gt;"",F293&lt;TODAY()),"Terlambat","Belum lunas")))</f>
      </c>
    </row>
    <row r="294" spans="1:9" x14ac:dyDescent="0.25">
      <c r="A294" s="12"/>
      <c r="B294" s="8"/>
      <c r="C294" s="8"/>
      <c r="D294" s="8"/>
      <c r="E294" s="13"/>
      <c r="F294" s="12"/>
      <c r="G294" s="13"/>
      <c r="H294" s="16">
        <f>IF(E294="","",E294-N(G294))</f>
      </c>
      <c r="I294" s="15">
        <f>IF(E294="","",IF(E294-N(G294)&lt;=0,"Lunas",IF(AND(F294&lt;&gt;"",F294&lt;TODAY()),"Terlambat","Belum lunas")))</f>
      </c>
    </row>
    <row r="295" spans="1:9" x14ac:dyDescent="0.25">
      <c r="A295" s="12"/>
      <c r="B295" s="8"/>
      <c r="C295" s="8"/>
      <c r="D295" s="8"/>
      <c r="E295" s="13"/>
      <c r="F295" s="12"/>
      <c r="G295" s="13"/>
      <c r="H295" s="16">
        <f>IF(E295="","",E295-N(G295))</f>
      </c>
      <c r="I295" s="15">
        <f>IF(E295="","",IF(E295-N(G295)&lt;=0,"Lunas",IF(AND(F295&lt;&gt;"",F295&lt;TODAY()),"Terlambat","Belum lunas")))</f>
      </c>
    </row>
    <row r="296" spans="1:9" x14ac:dyDescent="0.25">
      <c r="A296" s="12"/>
      <c r="B296" s="8"/>
      <c r="C296" s="8"/>
      <c r="D296" s="8"/>
      <c r="E296" s="13"/>
      <c r="F296" s="12"/>
      <c r="G296" s="13"/>
      <c r="H296" s="16">
        <f>IF(E296="","",E296-N(G296))</f>
      </c>
      <c r="I296" s="15">
        <f>IF(E296="","",IF(E296-N(G296)&lt;=0,"Lunas",IF(AND(F296&lt;&gt;"",F296&lt;TODAY()),"Terlambat","Belum lunas")))</f>
      </c>
    </row>
    <row r="297" spans="1:9" x14ac:dyDescent="0.25">
      <c r="A297" s="12"/>
      <c r="B297" s="8"/>
      <c r="C297" s="8"/>
      <c r="D297" s="8"/>
      <c r="E297" s="13"/>
      <c r="F297" s="12"/>
      <c r="G297" s="13"/>
      <c r="H297" s="16">
        <f>IF(E297="","",E297-N(G297))</f>
      </c>
      <c r="I297" s="15">
        <f>IF(E297="","",IF(E297-N(G297)&lt;=0,"Lunas",IF(AND(F297&lt;&gt;"",F297&lt;TODAY()),"Terlambat","Belum lunas")))</f>
      </c>
    </row>
    <row r="298" spans="1:9" x14ac:dyDescent="0.25">
      <c r="A298" s="12"/>
      <c r="B298" s="8"/>
      <c r="C298" s="8"/>
      <c r="D298" s="8"/>
      <c r="E298" s="13"/>
      <c r="F298" s="12"/>
      <c r="G298" s="13"/>
      <c r="H298" s="16">
        <f>IF(E298="","",E298-N(G298))</f>
      </c>
      <c r="I298" s="15">
        <f>IF(E298="","",IF(E298-N(G298)&lt;=0,"Lunas",IF(AND(F298&lt;&gt;"",F298&lt;TODAY()),"Terlambat","Belum lunas")))</f>
      </c>
    </row>
    <row r="299" spans="1:9" x14ac:dyDescent="0.25">
      <c r="A299" s="12"/>
      <c r="B299" s="8"/>
      <c r="C299" s="8"/>
      <c r="D299" s="8"/>
      <c r="E299" s="13"/>
      <c r="F299" s="12"/>
      <c r="G299" s="13"/>
      <c r="H299" s="16">
        <f>IF(E299="","",E299-N(G299))</f>
      </c>
      <c r="I299" s="15">
        <f>IF(E299="","",IF(E299-N(G299)&lt;=0,"Lunas",IF(AND(F299&lt;&gt;"",F299&lt;TODAY()),"Terlambat","Belum lunas")))</f>
      </c>
    </row>
    <row r="300" spans="1:9" x14ac:dyDescent="0.25">
      <c r="A300" s="12"/>
      <c r="B300" s="8"/>
      <c r="C300" s="8"/>
      <c r="D300" s="8"/>
      <c r="E300" s="13"/>
      <c r="F300" s="12"/>
      <c r="G300" s="13"/>
      <c r="H300" s="16">
        <f>IF(E300="","",E300-N(G300))</f>
      </c>
      <c r="I300" s="15">
        <f>IF(E300="","",IF(E300-N(G300)&lt;=0,"Lunas",IF(AND(F300&lt;&gt;"",F300&lt;TODAY()),"Terlambat","Belum lunas")))</f>
      </c>
    </row>
    <row r="301" spans="1:9" x14ac:dyDescent="0.25">
      <c r="A301" s="12"/>
      <c r="B301" s="8"/>
      <c r="C301" s="8"/>
      <c r="D301" s="8"/>
      <c r="E301" s="13"/>
      <c r="F301" s="12"/>
      <c r="G301" s="13"/>
      <c r="H301" s="16">
        <f>IF(E301="","",E301-N(G301))</f>
      </c>
      <c r="I301" s="15">
        <f>IF(E301="","",IF(E301-N(G301)&lt;=0,"Lunas",IF(AND(F301&lt;&gt;"",F301&lt;TODAY()),"Terlambat","Belum lunas")))</f>
      </c>
    </row>
    <row r="302" spans="1:9" x14ac:dyDescent="0.25">
      <c r="A302" s="12"/>
      <c r="B302" s="8"/>
      <c r="C302" s="8"/>
      <c r="D302" s="8"/>
      <c r="E302" s="13"/>
      <c r="F302" s="12"/>
      <c r="G302" s="13"/>
      <c r="H302" s="16">
        <f>IF(E302="","",E302-N(G302))</f>
      </c>
      <c r="I302" s="15">
        <f>IF(E302="","",IF(E302-N(G302)&lt;=0,"Lunas",IF(AND(F302&lt;&gt;"",F302&lt;TODAY()),"Terlambat","Belum lunas")))</f>
      </c>
    </row>
    <row r="303" spans="1:9" x14ac:dyDescent="0.25">
      <c r="A303" s="12"/>
      <c r="B303" s="8"/>
      <c r="C303" s="8"/>
      <c r="D303" s="8"/>
      <c r="E303" s="13"/>
      <c r="F303" s="12"/>
      <c r="G303" s="13"/>
      <c r="H303" s="16">
        <f>IF(E303="","",E303-N(G303))</f>
      </c>
      <c r="I303" s="15">
        <f>IF(E303="","",IF(E303-N(G303)&lt;=0,"Lunas",IF(AND(F303&lt;&gt;"",F303&lt;TODAY()),"Terlambat","Belum lunas")))</f>
      </c>
    </row>
    <row r="304" spans="1:9" x14ac:dyDescent="0.25">
      <c r="A304" s="12"/>
      <c r="B304" s="8"/>
      <c r="C304" s="8"/>
      <c r="D304" s="8"/>
      <c r="E304" s="13"/>
      <c r="F304" s="12"/>
      <c r="G304" s="13"/>
      <c r="H304" s="16">
        <f>IF(E304="","",E304-N(G304))</f>
      </c>
      <c r="I304" s="15">
        <f>IF(E304="","",IF(E304-N(G304)&lt;=0,"Lunas",IF(AND(F304&lt;&gt;"",F304&lt;TODAY()),"Terlambat","Belum lunas")))</f>
      </c>
    </row>
    <row r="305" spans="1:9" x14ac:dyDescent="0.25">
      <c r="A305" s="12"/>
      <c r="B305" s="8"/>
      <c r="C305" s="8"/>
      <c r="D305" s="8"/>
      <c r="E305" s="13"/>
      <c r="F305" s="12"/>
      <c r="G305" s="13"/>
      <c r="H305" s="16">
        <f>IF(E305="","",E305-N(G305))</f>
      </c>
      <c r="I305" s="15">
        <f>IF(E305="","",IF(E305-N(G305)&lt;=0,"Lunas",IF(AND(F305&lt;&gt;"",F305&lt;TODAY()),"Terlambat","Belum lunas")))</f>
      </c>
    </row>
    <row r="306" spans="1:9" x14ac:dyDescent="0.25">
      <c r="A306" s="12"/>
      <c r="B306" s="8"/>
      <c r="C306" s="8"/>
      <c r="D306" s="8"/>
      <c r="E306" s="13"/>
      <c r="F306" s="12"/>
      <c r="G306" s="13"/>
      <c r="H306" s="16">
        <f>IF(E306="","",E306-N(G306))</f>
      </c>
      <c r="I306" s="15">
        <f>IF(E306="","",IF(E306-N(G306)&lt;=0,"Lunas",IF(AND(F306&lt;&gt;"",F306&lt;TODAY()),"Terlambat","Belum lunas")))</f>
      </c>
    </row>
    <row r="307" spans="1:9" x14ac:dyDescent="0.25">
      <c r="A307" s="12"/>
      <c r="B307" s="8"/>
      <c r="C307" s="8"/>
      <c r="D307" s="8"/>
      <c r="E307" s="13"/>
      <c r="F307" s="12"/>
      <c r="G307" s="13"/>
      <c r="H307" s="16">
        <f>IF(E307="","",E307-N(G307))</f>
      </c>
      <c r="I307" s="15">
        <f>IF(E307="","",IF(E307-N(G307)&lt;=0,"Lunas",IF(AND(F307&lt;&gt;"",F307&lt;TODAY()),"Terlambat","Belum lunas")))</f>
      </c>
    </row>
    <row r="308" spans="1:9" x14ac:dyDescent="0.25">
      <c r="A308" s="12"/>
      <c r="B308" s="8"/>
      <c r="C308" s="8"/>
      <c r="D308" s="8"/>
      <c r="E308" s="13"/>
      <c r="F308" s="12"/>
      <c r="G308" s="13"/>
      <c r="H308" s="16">
        <f>IF(E308="","",E308-N(G308))</f>
      </c>
      <c r="I308" s="15">
        <f>IF(E308="","",IF(E308-N(G308)&lt;=0,"Lunas",IF(AND(F308&lt;&gt;"",F308&lt;TODAY()),"Terlambat","Belum lunas")))</f>
      </c>
    </row>
    <row r="309" spans="1:9" x14ac:dyDescent="0.25">
      <c r="A309" s="12"/>
      <c r="B309" s="8"/>
      <c r="C309" s="8"/>
      <c r="D309" s="8"/>
      <c r="E309" s="13"/>
      <c r="F309" s="12"/>
      <c r="G309" s="13"/>
      <c r="H309" s="16">
        <f>IF(E309="","",E309-N(G309))</f>
      </c>
      <c r="I309" s="15">
        <f>IF(E309="","",IF(E309-N(G309)&lt;=0,"Lunas",IF(AND(F309&lt;&gt;"",F309&lt;TODAY()),"Terlambat","Belum lunas")))</f>
      </c>
    </row>
    <row r="310" spans="1:9" x14ac:dyDescent="0.25">
      <c r="A310" s="12"/>
      <c r="B310" s="8"/>
      <c r="C310" s="8"/>
      <c r="D310" s="8"/>
      <c r="E310" s="13"/>
      <c r="F310" s="12"/>
      <c r="G310" s="13"/>
      <c r="H310" s="16">
        <f>IF(E310="","",E310-N(G310))</f>
      </c>
      <c r="I310" s="15">
        <f>IF(E310="","",IF(E310-N(G310)&lt;=0,"Lunas",IF(AND(F310&lt;&gt;"",F310&lt;TODAY()),"Terlambat","Belum lunas")))</f>
      </c>
    </row>
    <row r="311" spans="1:9" x14ac:dyDescent="0.25">
      <c r="A311" s="12"/>
      <c r="B311" s="8"/>
      <c r="C311" s="8"/>
      <c r="D311" s="8"/>
      <c r="E311" s="13"/>
      <c r="F311" s="12"/>
      <c r="G311" s="13"/>
      <c r="H311" s="16">
        <f>IF(E311="","",E311-N(G311))</f>
      </c>
      <c r="I311" s="15">
        <f>IF(E311="","",IF(E311-N(G311)&lt;=0,"Lunas",IF(AND(F311&lt;&gt;"",F311&lt;TODAY()),"Terlambat","Belum lunas")))</f>
      </c>
    </row>
    <row r="312" spans="1:9" x14ac:dyDescent="0.25">
      <c r="A312" s="12"/>
      <c r="B312" s="8"/>
      <c r="C312" s="8"/>
      <c r="D312" s="8"/>
      <c r="E312" s="13"/>
      <c r="F312" s="12"/>
      <c r="G312" s="13"/>
      <c r="H312" s="16">
        <f>IF(E312="","",E312-N(G312))</f>
      </c>
      <c r="I312" s="15">
        <f>IF(E312="","",IF(E312-N(G312)&lt;=0,"Lunas",IF(AND(F312&lt;&gt;"",F312&lt;TODAY()),"Terlambat","Belum lunas")))</f>
      </c>
    </row>
    <row r="313" spans="1:9" x14ac:dyDescent="0.25">
      <c r="A313" s="12"/>
      <c r="B313" s="8"/>
      <c r="C313" s="8"/>
      <c r="D313" s="8"/>
      <c r="E313" s="13"/>
      <c r="F313" s="12"/>
      <c r="G313" s="13"/>
      <c r="H313" s="16">
        <f>IF(E313="","",E313-N(G313))</f>
      </c>
      <c r="I313" s="15">
        <f>IF(E313="","",IF(E313-N(G313)&lt;=0,"Lunas",IF(AND(F313&lt;&gt;"",F313&lt;TODAY()),"Terlambat","Belum lunas")))</f>
      </c>
    </row>
    <row r="314" spans="1:9" x14ac:dyDescent="0.25">
      <c r="A314" s="12"/>
      <c r="B314" s="8"/>
      <c r="C314" s="8"/>
      <c r="D314" s="8"/>
      <c r="E314" s="13"/>
      <c r="F314" s="12"/>
      <c r="G314" s="13"/>
      <c r="H314" s="16">
        <f>IF(E314="","",E314-N(G314))</f>
      </c>
      <c r="I314" s="15">
        <f>IF(E314="","",IF(E314-N(G314)&lt;=0,"Lunas",IF(AND(F314&lt;&gt;"",F314&lt;TODAY()),"Terlambat","Belum lunas")))</f>
      </c>
    </row>
    <row r="315" spans="1:9" x14ac:dyDescent="0.25">
      <c r="A315" s="12"/>
      <c r="B315" s="8"/>
      <c r="C315" s="8"/>
      <c r="D315" s="8"/>
      <c r="E315" s="13"/>
      <c r="F315" s="12"/>
      <c r="G315" s="13"/>
      <c r="H315" s="16">
        <f>IF(E315="","",E315-N(G315))</f>
      </c>
      <c r="I315" s="15">
        <f>IF(E315="","",IF(E315-N(G315)&lt;=0,"Lunas",IF(AND(F315&lt;&gt;"",F315&lt;TODAY()),"Terlambat","Belum lunas")))</f>
      </c>
    </row>
    <row r="316" spans="1:9" x14ac:dyDescent="0.25">
      <c r="A316" s="12"/>
      <c r="B316" s="8"/>
      <c r="C316" s="8"/>
      <c r="D316" s="8"/>
      <c r="E316" s="13"/>
      <c r="F316" s="12"/>
      <c r="G316" s="13"/>
      <c r="H316" s="16">
        <f>IF(E316="","",E316-N(G316))</f>
      </c>
      <c r="I316" s="15">
        <f>IF(E316="","",IF(E316-N(G316)&lt;=0,"Lunas",IF(AND(F316&lt;&gt;"",F316&lt;TODAY()),"Terlambat","Belum lunas")))</f>
      </c>
    </row>
    <row r="317" spans="1:9" x14ac:dyDescent="0.25">
      <c r="A317" s="12"/>
      <c r="B317" s="8"/>
      <c r="C317" s="8"/>
      <c r="D317" s="8"/>
      <c r="E317" s="13"/>
      <c r="F317" s="12"/>
      <c r="G317" s="13"/>
      <c r="H317" s="16">
        <f>IF(E317="","",E317-N(G317))</f>
      </c>
      <c r="I317" s="15">
        <f>IF(E317="","",IF(E317-N(G317)&lt;=0,"Lunas",IF(AND(F317&lt;&gt;"",F317&lt;TODAY()),"Terlambat","Belum lunas")))</f>
      </c>
    </row>
    <row r="318" spans="1:9" x14ac:dyDescent="0.25">
      <c r="A318" s="12"/>
      <c r="B318" s="8"/>
      <c r="C318" s="8"/>
      <c r="D318" s="8"/>
      <c r="E318" s="13"/>
      <c r="F318" s="12"/>
      <c r="G318" s="13"/>
      <c r="H318" s="16">
        <f>IF(E318="","",E318-N(G318))</f>
      </c>
      <c r="I318" s="15">
        <f>IF(E318="","",IF(E318-N(G318)&lt;=0,"Lunas",IF(AND(F318&lt;&gt;"",F318&lt;TODAY()),"Terlambat","Belum lunas")))</f>
      </c>
    </row>
    <row r="319" spans="1:9" x14ac:dyDescent="0.25">
      <c r="A319" s="12"/>
      <c r="B319" s="8"/>
      <c r="C319" s="8"/>
      <c r="D319" s="8"/>
      <c r="E319" s="13"/>
      <c r="F319" s="12"/>
      <c r="G319" s="13"/>
      <c r="H319" s="16">
        <f>IF(E319="","",E319-N(G319))</f>
      </c>
      <c r="I319" s="15">
        <f>IF(E319="","",IF(E319-N(G319)&lt;=0,"Lunas",IF(AND(F319&lt;&gt;"",F319&lt;TODAY()),"Terlambat","Belum lunas")))</f>
      </c>
    </row>
    <row r="320" spans="1:9" x14ac:dyDescent="0.25">
      <c r="A320" s="12"/>
      <c r="B320" s="8"/>
      <c r="C320" s="8"/>
      <c r="D320" s="8"/>
      <c r="E320" s="13"/>
      <c r="F320" s="12"/>
      <c r="G320" s="13"/>
      <c r="H320" s="16">
        <f>IF(E320="","",E320-N(G320))</f>
      </c>
      <c r="I320" s="15">
        <f>IF(E320="","",IF(E320-N(G320)&lt;=0,"Lunas",IF(AND(F320&lt;&gt;"",F320&lt;TODAY()),"Terlambat","Belum lunas")))</f>
      </c>
    </row>
    <row r="321" spans="1:9" x14ac:dyDescent="0.25">
      <c r="A321" s="12"/>
      <c r="B321" s="8"/>
      <c r="C321" s="8"/>
      <c r="D321" s="8"/>
      <c r="E321" s="13"/>
      <c r="F321" s="12"/>
      <c r="G321" s="13"/>
      <c r="H321" s="16">
        <f>IF(E321="","",E321-N(G321))</f>
      </c>
      <c r="I321" s="15">
        <f>IF(E321="","",IF(E321-N(G321)&lt;=0,"Lunas",IF(AND(F321&lt;&gt;"",F321&lt;TODAY()),"Terlambat","Belum lunas")))</f>
      </c>
    </row>
    <row r="322" spans="1:9" x14ac:dyDescent="0.25">
      <c r="A322" s="12"/>
      <c r="B322" s="8"/>
      <c r="C322" s="8"/>
      <c r="D322" s="8"/>
      <c r="E322" s="13"/>
      <c r="F322" s="12"/>
      <c r="G322" s="13"/>
      <c r="H322" s="16">
        <f>IF(E322="","",E322-N(G322))</f>
      </c>
      <c r="I322" s="15">
        <f>IF(E322="","",IF(E322-N(G322)&lt;=0,"Lunas",IF(AND(F322&lt;&gt;"",F322&lt;TODAY()),"Terlambat","Belum lunas")))</f>
      </c>
    </row>
    <row r="323" spans="1:9" x14ac:dyDescent="0.25">
      <c r="A323" s="12"/>
      <c r="B323" s="8"/>
      <c r="C323" s="8"/>
      <c r="D323" s="8"/>
      <c r="E323" s="13"/>
      <c r="F323" s="12"/>
      <c r="G323" s="13"/>
      <c r="H323" s="16">
        <f>IF(E323="","",E323-N(G323))</f>
      </c>
      <c r="I323" s="15">
        <f>IF(E323="","",IF(E323-N(G323)&lt;=0,"Lunas",IF(AND(F323&lt;&gt;"",F323&lt;TODAY()),"Terlambat","Belum lunas")))</f>
      </c>
    </row>
    <row r="324" spans="1:9" x14ac:dyDescent="0.25">
      <c r="A324" s="12"/>
      <c r="B324" s="8"/>
      <c r="C324" s="8"/>
      <c r="D324" s="8"/>
      <c r="E324" s="13"/>
      <c r="F324" s="12"/>
      <c r="G324" s="13"/>
      <c r="H324" s="16">
        <f>IF(E324="","",E324-N(G324))</f>
      </c>
      <c r="I324" s="15">
        <f>IF(E324="","",IF(E324-N(G324)&lt;=0,"Lunas",IF(AND(F324&lt;&gt;"",F324&lt;TODAY()),"Terlambat","Belum lunas")))</f>
      </c>
    </row>
    <row r="325" spans="1:9" x14ac:dyDescent="0.25">
      <c r="A325" s="12"/>
      <c r="B325" s="8"/>
      <c r="C325" s="8"/>
      <c r="D325" s="8"/>
      <c r="E325" s="13"/>
      <c r="F325" s="12"/>
      <c r="G325" s="13"/>
      <c r="H325" s="16">
        <f>IF(E325="","",E325-N(G325))</f>
      </c>
      <c r="I325" s="15">
        <f>IF(E325="","",IF(E325-N(G325)&lt;=0,"Lunas",IF(AND(F325&lt;&gt;"",F325&lt;TODAY()),"Terlambat","Belum lunas")))</f>
      </c>
    </row>
    <row r="326" spans="1:9" x14ac:dyDescent="0.25">
      <c r="A326" s="12"/>
      <c r="B326" s="8"/>
      <c r="C326" s="8"/>
      <c r="D326" s="8"/>
      <c r="E326" s="13"/>
      <c r="F326" s="12"/>
      <c r="G326" s="13"/>
      <c r="H326" s="16">
        <f>IF(E326="","",E326-N(G326))</f>
      </c>
      <c r="I326" s="15">
        <f>IF(E326="","",IF(E326-N(G326)&lt;=0,"Lunas",IF(AND(F326&lt;&gt;"",F326&lt;TODAY()),"Terlambat","Belum lunas")))</f>
      </c>
    </row>
    <row r="327" spans="1:9" x14ac:dyDescent="0.25">
      <c r="A327" s="12"/>
      <c r="B327" s="8"/>
      <c r="C327" s="8"/>
      <c r="D327" s="8"/>
      <c r="E327" s="13"/>
      <c r="F327" s="12"/>
      <c r="G327" s="13"/>
      <c r="H327" s="16">
        <f>IF(E327="","",E327-N(G327))</f>
      </c>
      <c r="I327" s="15">
        <f>IF(E327="","",IF(E327-N(G327)&lt;=0,"Lunas",IF(AND(F327&lt;&gt;"",F327&lt;TODAY()),"Terlambat","Belum lunas")))</f>
      </c>
    </row>
    <row r="328" spans="1:9" x14ac:dyDescent="0.25">
      <c r="A328" s="12"/>
      <c r="B328" s="8"/>
      <c r="C328" s="8"/>
      <c r="D328" s="8"/>
      <c r="E328" s="13"/>
      <c r="F328" s="12"/>
      <c r="G328" s="13"/>
      <c r="H328" s="16">
        <f>IF(E328="","",E328-N(G328))</f>
      </c>
      <c r="I328" s="15">
        <f>IF(E328="","",IF(E328-N(G328)&lt;=0,"Lunas",IF(AND(F328&lt;&gt;"",F328&lt;TODAY()),"Terlambat","Belum lunas")))</f>
      </c>
    </row>
    <row r="329" spans="1:9" x14ac:dyDescent="0.25">
      <c r="A329" s="12"/>
      <c r="B329" s="8"/>
      <c r="C329" s="8"/>
      <c r="D329" s="8"/>
      <c r="E329" s="13"/>
      <c r="F329" s="12"/>
      <c r="G329" s="13"/>
      <c r="H329" s="16">
        <f>IF(E329="","",E329-N(G329))</f>
      </c>
      <c r="I329" s="15">
        <f>IF(E329="","",IF(E329-N(G329)&lt;=0,"Lunas",IF(AND(F329&lt;&gt;"",F329&lt;TODAY()),"Terlambat","Belum lunas")))</f>
      </c>
    </row>
    <row r="330" spans="1:9" x14ac:dyDescent="0.25">
      <c r="A330" s="12"/>
      <c r="B330" s="8"/>
      <c r="C330" s="8"/>
      <c r="D330" s="8"/>
      <c r="E330" s="13"/>
      <c r="F330" s="12"/>
      <c r="G330" s="13"/>
      <c r="H330" s="16">
        <f>IF(E330="","",E330-N(G330))</f>
      </c>
      <c r="I330" s="15">
        <f>IF(E330="","",IF(E330-N(G330)&lt;=0,"Lunas",IF(AND(F330&lt;&gt;"",F330&lt;TODAY()),"Terlambat","Belum lunas")))</f>
      </c>
    </row>
    <row r="331" spans="1:9" x14ac:dyDescent="0.25">
      <c r="A331" s="12"/>
      <c r="B331" s="8"/>
      <c r="C331" s="8"/>
      <c r="D331" s="8"/>
      <c r="E331" s="13"/>
      <c r="F331" s="12"/>
      <c r="G331" s="13"/>
      <c r="H331" s="16">
        <f>IF(E331="","",E331-N(G331))</f>
      </c>
      <c r="I331" s="15">
        <f>IF(E331="","",IF(E331-N(G331)&lt;=0,"Lunas",IF(AND(F331&lt;&gt;"",F331&lt;TODAY()),"Terlambat","Belum lunas")))</f>
      </c>
    </row>
    <row r="332" spans="1:9" x14ac:dyDescent="0.25">
      <c r="A332" s="12"/>
      <c r="B332" s="8"/>
      <c r="C332" s="8"/>
      <c r="D332" s="8"/>
      <c r="E332" s="13"/>
      <c r="F332" s="12"/>
      <c r="G332" s="13"/>
      <c r="H332" s="16">
        <f>IF(E332="","",E332-N(G332))</f>
      </c>
      <c r="I332" s="15">
        <f>IF(E332="","",IF(E332-N(G332)&lt;=0,"Lunas",IF(AND(F332&lt;&gt;"",F332&lt;TODAY()),"Terlambat","Belum lunas")))</f>
      </c>
    </row>
    <row r="333" spans="1:9" x14ac:dyDescent="0.25">
      <c r="A333" s="12"/>
      <c r="B333" s="8"/>
      <c r="C333" s="8"/>
      <c r="D333" s="8"/>
      <c r="E333" s="13"/>
      <c r="F333" s="12"/>
      <c r="G333" s="13"/>
      <c r="H333" s="16">
        <f>IF(E333="","",E333-N(G333))</f>
      </c>
      <c r="I333" s="15">
        <f>IF(E333="","",IF(E333-N(G333)&lt;=0,"Lunas",IF(AND(F333&lt;&gt;"",F333&lt;TODAY()),"Terlambat","Belum lunas")))</f>
      </c>
    </row>
    <row r="334" spans="1:9" x14ac:dyDescent="0.25">
      <c r="A334" s="12"/>
      <c r="B334" s="8"/>
      <c r="C334" s="8"/>
      <c r="D334" s="8"/>
      <c r="E334" s="13"/>
      <c r="F334" s="12"/>
      <c r="G334" s="13"/>
      <c r="H334" s="16">
        <f>IF(E334="","",E334-N(G334))</f>
      </c>
      <c r="I334" s="15">
        <f>IF(E334="","",IF(E334-N(G334)&lt;=0,"Lunas",IF(AND(F334&lt;&gt;"",F334&lt;TODAY()),"Terlambat","Belum lunas")))</f>
      </c>
    </row>
    <row r="335" spans="1:9" x14ac:dyDescent="0.25">
      <c r="A335" s="12"/>
      <c r="B335" s="8"/>
      <c r="C335" s="8"/>
      <c r="D335" s="8"/>
      <c r="E335" s="13"/>
      <c r="F335" s="12"/>
      <c r="G335" s="13"/>
      <c r="H335" s="16">
        <f>IF(E335="","",E335-N(G335))</f>
      </c>
      <c r="I335" s="15">
        <f>IF(E335="","",IF(E335-N(G335)&lt;=0,"Lunas",IF(AND(F335&lt;&gt;"",F335&lt;TODAY()),"Terlambat","Belum lunas")))</f>
      </c>
    </row>
    <row r="336" spans="1:9" x14ac:dyDescent="0.25">
      <c r="A336" s="12"/>
      <c r="B336" s="8"/>
      <c r="C336" s="8"/>
      <c r="D336" s="8"/>
      <c r="E336" s="13"/>
      <c r="F336" s="12"/>
      <c r="G336" s="13"/>
      <c r="H336" s="16">
        <f>IF(E336="","",E336-N(G336))</f>
      </c>
      <c r="I336" s="15">
        <f>IF(E336="","",IF(E336-N(G336)&lt;=0,"Lunas",IF(AND(F336&lt;&gt;"",F336&lt;TODAY()),"Terlambat","Belum lunas")))</f>
      </c>
    </row>
    <row r="337" spans="1:9" x14ac:dyDescent="0.25">
      <c r="A337" s="12"/>
      <c r="B337" s="8"/>
      <c r="C337" s="8"/>
      <c r="D337" s="8"/>
      <c r="E337" s="13"/>
      <c r="F337" s="12"/>
      <c r="G337" s="13"/>
      <c r="H337" s="16">
        <f>IF(E337="","",E337-N(G337))</f>
      </c>
      <c r="I337" s="15">
        <f>IF(E337="","",IF(E337-N(G337)&lt;=0,"Lunas",IF(AND(F337&lt;&gt;"",F337&lt;TODAY()),"Terlambat","Belum lunas")))</f>
      </c>
    </row>
    <row r="338" spans="1:9" x14ac:dyDescent="0.25">
      <c r="A338" s="12"/>
      <c r="B338" s="8"/>
      <c r="C338" s="8"/>
      <c r="D338" s="8"/>
      <c r="E338" s="13"/>
      <c r="F338" s="12"/>
      <c r="G338" s="13"/>
      <c r="H338" s="16">
        <f>IF(E338="","",E338-N(G338))</f>
      </c>
      <c r="I338" s="15">
        <f>IF(E338="","",IF(E338-N(G338)&lt;=0,"Lunas",IF(AND(F338&lt;&gt;"",F338&lt;TODAY()),"Terlambat","Belum lunas")))</f>
      </c>
    </row>
    <row r="339" spans="1:9" x14ac:dyDescent="0.25">
      <c r="A339" s="12"/>
      <c r="B339" s="8"/>
      <c r="C339" s="8"/>
      <c r="D339" s="8"/>
      <c r="E339" s="13"/>
      <c r="F339" s="12"/>
      <c r="G339" s="13"/>
      <c r="H339" s="16">
        <f>IF(E339="","",E339-N(G339))</f>
      </c>
      <c r="I339" s="15">
        <f>IF(E339="","",IF(E339-N(G339)&lt;=0,"Lunas",IF(AND(F339&lt;&gt;"",F339&lt;TODAY()),"Terlambat","Belum lunas")))</f>
      </c>
    </row>
    <row r="340" spans="1:9" x14ac:dyDescent="0.25">
      <c r="A340" s="12"/>
      <c r="B340" s="8"/>
      <c r="C340" s="8"/>
      <c r="D340" s="8"/>
      <c r="E340" s="13"/>
      <c r="F340" s="12"/>
      <c r="G340" s="13"/>
      <c r="H340" s="16">
        <f>IF(E340="","",E340-N(G340))</f>
      </c>
      <c r="I340" s="15">
        <f>IF(E340="","",IF(E340-N(G340)&lt;=0,"Lunas",IF(AND(F340&lt;&gt;"",F340&lt;TODAY()),"Terlambat","Belum lunas")))</f>
      </c>
    </row>
    <row r="341" spans="1:9" x14ac:dyDescent="0.25">
      <c r="A341" s="12"/>
      <c r="B341" s="8"/>
      <c r="C341" s="8"/>
      <c r="D341" s="8"/>
      <c r="E341" s="13"/>
      <c r="F341" s="12"/>
      <c r="G341" s="13"/>
      <c r="H341" s="16">
        <f>IF(E341="","",E341-N(G341))</f>
      </c>
      <c r="I341" s="15">
        <f>IF(E341="","",IF(E341-N(G341)&lt;=0,"Lunas",IF(AND(F341&lt;&gt;"",F341&lt;TODAY()),"Terlambat","Belum lunas")))</f>
      </c>
    </row>
    <row r="342" spans="1:9" x14ac:dyDescent="0.25">
      <c r="A342" s="12"/>
      <c r="B342" s="8"/>
      <c r="C342" s="8"/>
      <c r="D342" s="8"/>
      <c r="E342" s="13"/>
      <c r="F342" s="12"/>
      <c r="G342" s="13"/>
      <c r="H342" s="16">
        <f>IF(E342="","",E342-N(G342))</f>
      </c>
      <c r="I342" s="15">
        <f>IF(E342="","",IF(E342-N(G342)&lt;=0,"Lunas",IF(AND(F342&lt;&gt;"",F342&lt;TODAY()),"Terlambat","Belum lunas")))</f>
      </c>
    </row>
    <row r="343" spans="1:9" x14ac:dyDescent="0.25">
      <c r="A343" s="12"/>
      <c r="B343" s="8"/>
      <c r="C343" s="8"/>
      <c r="D343" s="8"/>
      <c r="E343" s="13"/>
      <c r="F343" s="12"/>
      <c r="G343" s="13"/>
      <c r="H343" s="16">
        <f>IF(E343="","",E343-N(G343))</f>
      </c>
      <c r="I343" s="15">
        <f>IF(E343="","",IF(E343-N(G343)&lt;=0,"Lunas",IF(AND(F343&lt;&gt;"",F343&lt;TODAY()),"Terlambat","Belum lunas")))</f>
      </c>
    </row>
    <row r="344" spans="1:9" x14ac:dyDescent="0.25">
      <c r="A344" s="12"/>
      <c r="B344" s="8"/>
      <c r="C344" s="8"/>
      <c r="D344" s="8"/>
      <c r="E344" s="13"/>
      <c r="F344" s="12"/>
      <c r="G344" s="13"/>
      <c r="H344" s="16">
        <f>IF(E344="","",E344-N(G344))</f>
      </c>
      <c r="I344" s="15">
        <f>IF(E344="","",IF(E344-N(G344)&lt;=0,"Lunas",IF(AND(F344&lt;&gt;"",F344&lt;TODAY()),"Terlambat","Belum lunas")))</f>
      </c>
    </row>
    <row r="345" spans="1:9" x14ac:dyDescent="0.25">
      <c r="A345" s="12"/>
      <c r="B345" s="8"/>
      <c r="C345" s="8"/>
      <c r="D345" s="8"/>
      <c r="E345" s="13"/>
      <c r="F345" s="12"/>
      <c r="G345" s="13"/>
      <c r="H345" s="16">
        <f>IF(E345="","",E345-N(G345))</f>
      </c>
      <c r="I345" s="15">
        <f>IF(E345="","",IF(E345-N(G345)&lt;=0,"Lunas",IF(AND(F345&lt;&gt;"",F345&lt;TODAY()),"Terlambat","Belum lunas")))</f>
      </c>
    </row>
    <row r="346" spans="1:9" x14ac:dyDescent="0.25">
      <c r="A346" s="12"/>
      <c r="B346" s="8"/>
      <c r="C346" s="8"/>
      <c r="D346" s="8"/>
      <c r="E346" s="13"/>
      <c r="F346" s="12"/>
      <c r="G346" s="13"/>
      <c r="H346" s="16">
        <f>IF(E346="","",E346-N(G346))</f>
      </c>
      <c r="I346" s="15">
        <f>IF(E346="","",IF(E346-N(G346)&lt;=0,"Lunas",IF(AND(F346&lt;&gt;"",F346&lt;TODAY()),"Terlambat","Belum lunas")))</f>
      </c>
    </row>
    <row r="347" spans="1:9" x14ac:dyDescent="0.25">
      <c r="A347" s="12"/>
      <c r="B347" s="8"/>
      <c r="C347" s="8"/>
      <c r="D347" s="8"/>
      <c r="E347" s="13"/>
      <c r="F347" s="12"/>
      <c r="G347" s="13"/>
      <c r="H347" s="16">
        <f>IF(E347="","",E347-N(G347))</f>
      </c>
      <c r="I347" s="15">
        <f>IF(E347="","",IF(E347-N(G347)&lt;=0,"Lunas",IF(AND(F347&lt;&gt;"",F347&lt;TODAY()),"Terlambat","Belum lunas")))</f>
      </c>
    </row>
    <row r="348" spans="1:9" x14ac:dyDescent="0.25">
      <c r="A348" s="12"/>
      <c r="B348" s="8"/>
      <c r="C348" s="8"/>
      <c r="D348" s="8"/>
      <c r="E348" s="13"/>
      <c r="F348" s="12"/>
      <c r="G348" s="13"/>
      <c r="H348" s="16">
        <f>IF(E348="","",E348-N(G348))</f>
      </c>
      <c r="I348" s="15">
        <f>IF(E348="","",IF(E348-N(G348)&lt;=0,"Lunas",IF(AND(F348&lt;&gt;"",F348&lt;TODAY()),"Terlambat","Belum lunas")))</f>
      </c>
    </row>
    <row r="349" spans="1:9" x14ac:dyDescent="0.25">
      <c r="A349" s="12"/>
      <c r="B349" s="8"/>
      <c r="C349" s="8"/>
      <c r="D349" s="8"/>
      <c r="E349" s="13"/>
      <c r="F349" s="12"/>
      <c r="G349" s="13"/>
      <c r="H349" s="16">
        <f>IF(E349="","",E349-N(G349))</f>
      </c>
      <c r="I349" s="15">
        <f>IF(E349="","",IF(E349-N(G349)&lt;=0,"Lunas",IF(AND(F349&lt;&gt;"",F349&lt;TODAY()),"Terlambat","Belum lunas")))</f>
      </c>
    </row>
    <row r="350" spans="1:9" x14ac:dyDescent="0.25">
      <c r="A350" s="12"/>
      <c r="B350" s="8"/>
      <c r="C350" s="8"/>
      <c r="D350" s="8"/>
      <c r="E350" s="13"/>
      <c r="F350" s="12"/>
      <c r="G350" s="13"/>
      <c r="H350" s="16">
        <f>IF(E350="","",E350-N(G350))</f>
      </c>
      <c r="I350" s="15">
        <f>IF(E350="","",IF(E350-N(G350)&lt;=0,"Lunas",IF(AND(F350&lt;&gt;"",F350&lt;TODAY()),"Terlambat","Belum lunas")))</f>
      </c>
    </row>
    <row r="351" spans="1:9" x14ac:dyDescent="0.25">
      <c r="A351" s="12"/>
      <c r="B351" s="8"/>
      <c r="C351" s="8"/>
      <c r="D351" s="8"/>
      <c r="E351" s="13"/>
      <c r="F351" s="12"/>
      <c r="G351" s="13"/>
      <c r="H351" s="16">
        <f>IF(E351="","",E351-N(G351))</f>
      </c>
      <c r="I351" s="15">
        <f>IF(E351="","",IF(E351-N(G351)&lt;=0,"Lunas",IF(AND(F351&lt;&gt;"",F351&lt;TODAY()),"Terlambat","Belum lunas")))</f>
      </c>
    </row>
    <row r="352" spans="1:9" x14ac:dyDescent="0.25">
      <c r="A352" s="12"/>
      <c r="B352" s="8"/>
      <c r="C352" s="8"/>
      <c r="D352" s="8"/>
      <c r="E352" s="13"/>
      <c r="F352" s="12"/>
      <c r="G352" s="13"/>
      <c r="H352" s="16">
        <f>IF(E352="","",E352-N(G352))</f>
      </c>
      <c r="I352" s="15">
        <f>IF(E352="","",IF(E352-N(G352)&lt;=0,"Lunas",IF(AND(F352&lt;&gt;"",F352&lt;TODAY()),"Terlambat","Belum lunas")))</f>
      </c>
    </row>
    <row r="353" spans="1:9" x14ac:dyDescent="0.25">
      <c r="A353" s="12"/>
      <c r="B353" s="8"/>
      <c r="C353" s="8"/>
      <c r="D353" s="8"/>
      <c r="E353" s="13"/>
      <c r="F353" s="12"/>
      <c r="G353" s="13"/>
      <c r="H353" s="16">
        <f>IF(E353="","",E353-N(G353))</f>
      </c>
      <c r="I353" s="15">
        <f>IF(E353="","",IF(E353-N(G353)&lt;=0,"Lunas",IF(AND(F353&lt;&gt;"",F353&lt;TODAY()),"Terlambat","Belum lunas")))</f>
      </c>
    </row>
    <row r="354" spans="1:9" x14ac:dyDescent="0.25">
      <c r="A354" s="12"/>
      <c r="B354" s="8"/>
      <c r="C354" s="8"/>
      <c r="D354" s="8"/>
      <c r="E354" s="13"/>
      <c r="F354" s="12"/>
      <c r="G354" s="13"/>
      <c r="H354" s="16">
        <f>IF(E354="","",E354-N(G354))</f>
      </c>
      <c r="I354" s="15">
        <f>IF(E354="","",IF(E354-N(G354)&lt;=0,"Lunas",IF(AND(F354&lt;&gt;"",F354&lt;TODAY()),"Terlambat","Belum lunas")))</f>
      </c>
    </row>
    <row r="355" spans="1:9" x14ac:dyDescent="0.25">
      <c r="A355" s="12"/>
      <c r="B355" s="8"/>
      <c r="C355" s="8"/>
      <c r="D355" s="8"/>
      <c r="E355" s="13"/>
      <c r="F355" s="12"/>
      <c r="G355" s="13"/>
      <c r="H355" s="16">
        <f>IF(E355="","",E355-N(G355))</f>
      </c>
      <c r="I355" s="15">
        <f>IF(E355="","",IF(E355-N(G355)&lt;=0,"Lunas",IF(AND(F355&lt;&gt;"",F355&lt;TODAY()),"Terlambat","Belum lunas")))</f>
      </c>
    </row>
    <row r="356" spans="1:9" x14ac:dyDescent="0.25">
      <c r="A356" s="12"/>
      <c r="B356" s="8"/>
      <c r="C356" s="8"/>
      <c r="D356" s="8"/>
      <c r="E356" s="13"/>
      <c r="F356" s="12"/>
      <c r="G356" s="13"/>
      <c r="H356" s="16">
        <f>IF(E356="","",E356-N(G356))</f>
      </c>
      <c r="I356" s="15">
        <f>IF(E356="","",IF(E356-N(G356)&lt;=0,"Lunas",IF(AND(F356&lt;&gt;"",F356&lt;TODAY()),"Terlambat","Belum lunas")))</f>
      </c>
    </row>
    <row r="357" spans="1:9" x14ac:dyDescent="0.25">
      <c r="A357" s="12"/>
      <c r="B357" s="8"/>
      <c r="C357" s="8"/>
      <c r="D357" s="8"/>
      <c r="E357" s="13"/>
      <c r="F357" s="12"/>
      <c r="G357" s="13"/>
      <c r="H357" s="16">
        <f>IF(E357="","",E357-N(G357))</f>
      </c>
      <c r="I357" s="15">
        <f>IF(E357="","",IF(E357-N(G357)&lt;=0,"Lunas",IF(AND(F357&lt;&gt;"",F357&lt;TODAY()),"Terlambat","Belum lunas")))</f>
      </c>
    </row>
    <row r="358" spans="1:9" x14ac:dyDescent="0.25">
      <c r="A358" s="12"/>
      <c r="B358" s="8"/>
      <c r="C358" s="8"/>
      <c r="D358" s="8"/>
      <c r="E358" s="13"/>
      <c r="F358" s="12"/>
      <c r="G358" s="13"/>
      <c r="H358" s="16">
        <f>IF(E358="","",E358-N(G358))</f>
      </c>
      <c r="I358" s="15">
        <f>IF(E358="","",IF(E358-N(G358)&lt;=0,"Lunas",IF(AND(F358&lt;&gt;"",F358&lt;TODAY()),"Terlambat","Belum lunas")))</f>
      </c>
    </row>
    <row r="359" spans="1:9" x14ac:dyDescent="0.25">
      <c r="A359" s="12"/>
      <c r="B359" s="8"/>
      <c r="C359" s="8"/>
      <c r="D359" s="8"/>
      <c r="E359" s="13"/>
      <c r="F359" s="12"/>
      <c r="G359" s="13"/>
      <c r="H359" s="16">
        <f>IF(E359="","",E359-N(G359))</f>
      </c>
      <c r="I359" s="15">
        <f>IF(E359="","",IF(E359-N(G359)&lt;=0,"Lunas",IF(AND(F359&lt;&gt;"",F359&lt;TODAY()),"Terlambat","Belum lunas")))</f>
      </c>
    </row>
    <row r="360" spans="1:9" x14ac:dyDescent="0.25">
      <c r="A360" s="12"/>
      <c r="B360" s="8"/>
      <c r="C360" s="8"/>
      <c r="D360" s="8"/>
      <c r="E360" s="13"/>
      <c r="F360" s="12"/>
      <c r="G360" s="13"/>
      <c r="H360" s="16">
        <f>IF(E360="","",E360-N(G360))</f>
      </c>
      <c r="I360" s="15">
        <f>IF(E360="","",IF(E360-N(G360)&lt;=0,"Lunas",IF(AND(F360&lt;&gt;"",F360&lt;TODAY()),"Terlambat","Belum lunas")))</f>
      </c>
    </row>
    <row r="361" spans="1:9" x14ac:dyDescent="0.25">
      <c r="A361" s="12"/>
      <c r="B361" s="8"/>
      <c r="C361" s="8"/>
      <c r="D361" s="8"/>
      <c r="E361" s="13"/>
      <c r="F361" s="12"/>
      <c r="G361" s="13"/>
      <c r="H361" s="16">
        <f>IF(E361="","",E361-N(G361))</f>
      </c>
      <c r="I361" s="15">
        <f>IF(E361="","",IF(E361-N(G361)&lt;=0,"Lunas",IF(AND(F361&lt;&gt;"",F361&lt;TODAY()),"Terlambat","Belum lunas")))</f>
      </c>
    </row>
    <row r="362" spans="1:9" x14ac:dyDescent="0.25">
      <c r="A362" s="12"/>
      <c r="B362" s="8"/>
      <c r="C362" s="8"/>
      <c r="D362" s="8"/>
      <c r="E362" s="13"/>
      <c r="F362" s="12"/>
      <c r="G362" s="13"/>
      <c r="H362" s="16">
        <f>IF(E362="","",E362-N(G362))</f>
      </c>
      <c r="I362" s="15">
        <f>IF(E362="","",IF(E362-N(G362)&lt;=0,"Lunas",IF(AND(F362&lt;&gt;"",F362&lt;TODAY()),"Terlambat","Belum lunas")))</f>
      </c>
    </row>
    <row r="363" spans="1:9" x14ac:dyDescent="0.25">
      <c r="A363" s="12"/>
      <c r="B363" s="8"/>
      <c r="C363" s="8"/>
      <c r="D363" s="8"/>
      <c r="E363" s="13"/>
      <c r="F363" s="12"/>
      <c r="G363" s="13"/>
      <c r="H363" s="16">
        <f>IF(E363="","",E363-N(G363))</f>
      </c>
      <c r="I363" s="15">
        <f>IF(E363="","",IF(E363-N(G363)&lt;=0,"Lunas",IF(AND(F363&lt;&gt;"",F363&lt;TODAY()),"Terlambat","Belum lunas")))</f>
      </c>
    </row>
    <row r="364" spans="1:9" x14ac:dyDescent="0.25">
      <c r="A364" s="12"/>
      <c r="B364" s="8"/>
      <c r="C364" s="8"/>
      <c r="D364" s="8"/>
      <c r="E364" s="13"/>
      <c r="F364" s="12"/>
      <c r="G364" s="13"/>
      <c r="H364" s="16">
        <f>IF(E364="","",E364-N(G364))</f>
      </c>
      <c r="I364" s="15">
        <f>IF(E364="","",IF(E364-N(G364)&lt;=0,"Lunas",IF(AND(F364&lt;&gt;"",F364&lt;TODAY()),"Terlambat","Belum lunas")))</f>
      </c>
    </row>
    <row r="365" spans="1:9" x14ac:dyDescent="0.25">
      <c r="A365" s="12"/>
      <c r="B365" s="8"/>
      <c r="C365" s="8"/>
      <c r="D365" s="8"/>
      <c r="E365" s="13"/>
      <c r="F365" s="12"/>
      <c r="G365" s="13"/>
      <c r="H365" s="16">
        <f>IF(E365="","",E365-N(G365))</f>
      </c>
      <c r="I365" s="15">
        <f>IF(E365="","",IF(E365-N(G365)&lt;=0,"Lunas",IF(AND(F365&lt;&gt;"",F365&lt;TODAY()),"Terlambat","Belum lunas")))</f>
      </c>
    </row>
    <row r="366" spans="1:9" x14ac:dyDescent="0.25">
      <c r="A366" s="12"/>
      <c r="B366" s="8"/>
      <c r="C366" s="8"/>
      <c r="D366" s="8"/>
      <c r="E366" s="13"/>
      <c r="F366" s="12"/>
      <c r="G366" s="13"/>
      <c r="H366" s="16">
        <f>IF(E366="","",E366-N(G366))</f>
      </c>
      <c r="I366" s="15">
        <f>IF(E366="","",IF(E366-N(G366)&lt;=0,"Lunas",IF(AND(F366&lt;&gt;"",F366&lt;TODAY()),"Terlambat","Belum lunas")))</f>
      </c>
    </row>
    <row r="367" spans="1:9" x14ac:dyDescent="0.25">
      <c r="A367" s="12"/>
      <c r="B367" s="8"/>
      <c r="C367" s="8"/>
      <c r="D367" s="8"/>
      <c r="E367" s="13"/>
      <c r="F367" s="12"/>
      <c r="G367" s="13"/>
      <c r="H367" s="16">
        <f>IF(E367="","",E367-N(G367))</f>
      </c>
      <c r="I367" s="15">
        <f>IF(E367="","",IF(E367-N(G367)&lt;=0,"Lunas",IF(AND(F367&lt;&gt;"",F367&lt;TODAY()),"Terlambat","Belum lunas")))</f>
      </c>
    </row>
    <row r="368" spans="1:9" x14ac:dyDescent="0.25">
      <c r="A368" s="12"/>
      <c r="B368" s="8"/>
      <c r="C368" s="8"/>
      <c r="D368" s="8"/>
      <c r="E368" s="13"/>
      <c r="F368" s="12"/>
      <c r="G368" s="13"/>
      <c r="H368" s="16">
        <f>IF(E368="","",E368-N(G368))</f>
      </c>
      <c r="I368" s="15">
        <f>IF(E368="","",IF(E368-N(G368)&lt;=0,"Lunas",IF(AND(F368&lt;&gt;"",F368&lt;TODAY()),"Terlambat","Belum lunas")))</f>
      </c>
    </row>
    <row r="369" spans="1:9" x14ac:dyDescent="0.25">
      <c r="A369" s="12"/>
      <c r="B369" s="8"/>
      <c r="C369" s="8"/>
      <c r="D369" s="8"/>
      <c r="E369" s="13"/>
      <c r="F369" s="12"/>
      <c r="G369" s="13"/>
      <c r="H369" s="16">
        <f>IF(E369="","",E369-N(G369))</f>
      </c>
      <c r="I369" s="15">
        <f>IF(E369="","",IF(E369-N(G369)&lt;=0,"Lunas",IF(AND(F369&lt;&gt;"",F369&lt;TODAY()),"Terlambat","Belum lunas")))</f>
      </c>
    </row>
    <row r="370" spans="1:9" x14ac:dyDescent="0.25">
      <c r="A370" s="12"/>
      <c r="B370" s="8"/>
      <c r="C370" s="8"/>
      <c r="D370" s="8"/>
      <c r="E370" s="13"/>
      <c r="F370" s="12"/>
      <c r="G370" s="13"/>
      <c r="H370" s="16">
        <f>IF(E370="","",E370-N(G370))</f>
      </c>
      <c r="I370" s="15">
        <f>IF(E370="","",IF(E370-N(G370)&lt;=0,"Lunas",IF(AND(F370&lt;&gt;"",F370&lt;TODAY()),"Terlambat","Belum lunas")))</f>
      </c>
    </row>
    <row r="371" spans="1:9" x14ac:dyDescent="0.25">
      <c r="A371" s="12"/>
      <c r="B371" s="8"/>
      <c r="C371" s="8"/>
      <c r="D371" s="8"/>
      <c r="E371" s="13"/>
      <c r="F371" s="12"/>
      <c r="G371" s="13"/>
      <c r="H371" s="16">
        <f>IF(E371="","",E371-N(G371))</f>
      </c>
      <c r="I371" s="15">
        <f>IF(E371="","",IF(E371-N(G371)&lt;=0,"Lunas",IF(AND(F371&lt;&gt;"",F371&lt;TODAY()),"Terlambat","Belum lunas")))</f>
      </c>
    </row>
    <row r="372" spans="1:9" x14ac:dyDescent="0.25">
      <c r="A372" s="12"/>
      <c r="B372" s="8"/>
      <c r="C372" s="8"/>
      <c r="D372" s="8"/>
      <c r="E372" s="13"/>
      <c r="F372" s="12"/>
      <c r="G372" s="13"/>
      <c r="H372" s="16">
        <f>IF(E372="","",E372-N(G372))</f>
      </c>
      <c r="I372" s="15">
        <f>IF(E372="","",IF(E372-N(G372)&lt;=0,"Lunas",IF(AND(F372&lt;&gt;"",F372&lt;TODAY()),"Terlambat","Belum lunas")))</f>
      </c>
    </row>
    <row r="373" spans="1:9" x14ac:dyDescent="0.25">
      <c r="A373" s="12"/>
      <c r="B373" s="8"/>
      <c r="C373" s="8"/>
      <c r="D373" s="8"/>
      <c r="E373" s="13"/>
      <c r="F373" s="12"/>
      <c r="G373" s="13"/>
      <c r="H373" s="16">
        <f>IF(E373="","",E373-N(G373))</f>
      </c>
      <c r="I373" s="15">
        <f>IF(E373="","",IF(E373-N(G373)&lt;=0,"Lunas",IF(AND(F373&lt;&gt;"",F373&lt;TODAY()),"Terlambat","Belum lunas")))</f>
      </c>
    </row>
    <row r="374" spans="1:9" x14ac:dyDescent="0.25">
      <c r="A374" s="12"/>
      <c r="B374" s="8"/>
      <c r="C374" s="8"/>
      <c r="D374" s="8"/>
      <c r="E374" s="13"/>
      <c r="F374" s="12"/>
      <c r="G374" s="13"/>
      <c r="H374" s="16">
        <f>IF(E374="","",E374-N(G374))</f>
      </c>
      <c r="I374" s="15">
        <f>IF(E374="","",IF(E374-N(G374)&lt;=0,"Lunas",IF(AND(F374&lt;&gt;"",F374&lt;TODAY()),"Terlambat","Belum lunas")))</f>
      </c>
    </row>
    <row r="375" spans="1:9" x14ac:dyDescent="0.25">
      <c r="A375" s="12"/>
      <c r="B375" s="8"/>
      <c r="C375" s="8"/>
      <c r="D375" s="8"/>
      <c r="E375" s="13"/>
      <c r="F375" s="12"/>
      <c r="G375" s="13"/>
      <c r="H375" s="16">
        <f>IF(E375="","",E375-N(G375))</f>
      </c>
      <c r="I375" s="15">
        <f>IF(E375="","",IF(E375-N(G375)&lt;=0,"Lunas",IF(AND(F375&lt;&gt;"",F375&lt;TODAY()),"Terlambat","Belum lunas")))</f>
      </c>
    </row>
    <row r="376" spans="1:9" x14ac:dyDescent="0.25">
      <c r="A376" s="12"/>
      <c r="B376" s="8"/>
      <c r="C376" s="8"/>
      <c r="D376" s="8"/>
      <c r="E376" s="13"/>
      <c r="F376" s="12"/>
      <c r="G376" s="13"/>
      <c r="H376" s="16">
        <f>IF(E376="","",E376-N(G376))</f>
      </c>
      <c r="I376" s="15">
        <f>IF(E376="","",IF(E376-N(G376)&lt;=0,"Lunas",IF(AND(F376&lt;&gt;"",F376&lt;TODAY()),"Terlambat","Belum lunas")))</f>
      </c>
    </row>
    <row r="377" spans="1:9" x14ac:dyDescent="0.25">
      <c r="A377" s="12"/>
      <c r="B377" s="8"/>
      <c r="C377" s="8"/>
      <c r="D377" s="8"/>
      <c r="E377" s="13"/>
      <c r="F377" s="12"/>
      <c r="G377" s="13"/>
      <c r="H377" s="16">
        <f>IF(E377="","",E377-N(G377))</f>
      </c>
      <c r="I377" s="15">
        <f>IF(E377="","",IF(E377-N(G377)&lt;=0,"Lunas",IF(AND(F377&lt;&gt;"",F377&lt;TODAY()),"Terlambat","Belum lunas")))</f>
      </c>
    </row>
    <row r="378" spans="1:9" x14ac:dyDescent="0.25">
      <c r="A378" s="12"/>
      <c r="B378" s="8"/>
      <c r="C378" s="8"/>
      <c r="D378" s="8"/>
      <c r="E378" s="13"/>
      <c r="F378" s="12"/>
      <c r="G378" s="13"/>
      <c r="H378" s="16">
        <f>IF(E378="","",E378-N(G378))</f>
      </c>
      <c r="I378" s="15">
        <f>IF(E378="","",IF(E378-N(G378)&lt;=0,"Lunas",IF(AND(F378&lt;&gt;"",F378&lt;TODAY()),"Terlambat","Belum lunas")))</f>
      </c>
    </row>
    <row r="379" spans="1:9" x14ac:dyDescent="0.25">
      <c r="A379" s="12"/>
      <c r="B379" s="8"/>
      <c r="C379" s="8"/>
      <c r="D379" s="8"/>
      <c r="E379" s="13"/>
      <c r="F379" s="12"/>
      <c r="G379" s="13"/>
      <c r="H379" s="16">
        <f>IF(E379="","",E379-N(G379))</f>
      </c>
      <c r="I379" s="15">
        <f>IF(E379="","",IF(E379-N(G379)&lt;=0,"Lunas",IF(AND(F379&lt;&gt;"",F379&lt;TODAY()),"Terlambat","Belum lunas")))</f>
      </c>
    </row>
    <row r="380" spans="1:9" x14ac:dyDescent="0.25">
      <c r="A380" s="12"/>
      <c r="B380" s="8"/>
      <c r="C380" s="8"/>
      <c r="D380" s="8"/>
      <c r="E380" s="13"/>
      <c r="F380" s="12"/>
      <c r="G380" s="13"/>
      <c r="H380" s="16">
        <f>IF(E380="","",E380-N(G380))</f>
      </c>
      <c r="I380" s="15">
        <f>IF(E380="","",IF(E380-N(G380)&lt;=0,"Lunas",IF(AND(F380&lt;&gt;"",F380&lt;TODAY()),"Terlambat","Belum lunas")))</f>
      </c>
    </row>
    <row r="381" spans="1:9" x14ac:dyDescent="0.25">
      <c r="A381" s="12"/>
      <c r="B381" s="8"/>
      <c r="C381" s="8"/>
      <c r="D381" s="8"/>
      <c r="E381" s="13"/>
      <c r="F381" s="12"/>
      <c r="G381" s="13"/>
      <c r="H381" s="16">
        <f>IF(E381="","",E381-N(G381))</f>
      </c>
      <c r="I381" s="15">
        <f>IF(E381="","",IF(E381-N(G381)&lt;=0,"Lunas",IF(AND(F381&lt;&gt;"",F381&lt;TODAY()),"Terlambat","Belum lunas")))</f>
      </c>
    </row>
    <row r="382" spans="1:9" x14ac:dyDescent="0.25">
      <c r="A382" s="12"/>
      <c r="B382" s="8"/>
      <c r="C382" s="8"/>
      <c r="D382" s="8"/>
      <c r="E382" s="13"/>
      <c r="F382" s="12"/>
      <c r="G382" s="13"/>
      <c r="H382" s="16">
        <f>IF(E382="","",E382-N(G382))</f>
      </c>
      <c r="I382" s="15">
        <f>IF(E382="","",IF(E382-N(G382)&lt;=0,"Lunas",IF(AND(F382&lt;&gt;"",F382&lt;TODAY()),"Terlambat","Belum lunas")))</f>
      </c>
    </row>
    <row r="383" spans="1:9" x14ac:dyDescent="0.25">
      <c r="A383" s="12"/>
      <c r="B383" s="8"/>
      <c r="C383" s="8"/>
      <c r="D383" s="8"/>
      <c r="E383" s="13"/>
      <c r="F383" s="12"/>
      <c r="G383" s="13"/>
      <c r="H383" s="16">
        <f>IF(E383="","",E383-N(G383))</f>
      </c>
      <c r="I383" s="15">
        <f>IF(E383="","",IF(E383-N(G383)&lt;=0,"Lunas",IF(AND(F383&lt;&gt;"",F383&lt;TODAY()),"Terlambat","Belum lunas")))</f>
      </c>
    </row>
    <row r="384" spans="1:9" x14ac:dyDescent="0.25">
      <c r="A384" s="12"/>
      <c r="B384" s="8"/>
      <c r="C384" s="8"/>
      <c r="D384" s="8"/>
      <c r="E384" s="13"/>
      <c r="F384" s="12"/>
      <c r="G384" s="13"/>
      <c r="H384" s="16">
        <f>IF(E384="","",E384-N(G384))</f>
      </c>
      <c r="I384" s="15">
        <f>IF(E384="","",IF(E384-N(G384)&lt;=0,"Lunas",IF(AND(F384&lt;&gt;"",F384&lt;TODAY()),"Terlambat","Belum lunas")))</f>
      </c>
    </row>
    <row r="385" spans="1:9" x14ac:dyDescent="0.25">
      <c r="A385" s="12"/>
      <c r="B385" s="8"/>
      <c r="C385" s="8"/>
      <c r="D385" s="8"/>
      <c r="E385" s="13"/>
      <c r="F385" s="12"/>
      <c r="G385" s="13"/>
      <c r="H385" s="16">
        <f>IF(E385="","",E385-N(G385))</f>
      </c>
      <c r="I385" s="15">
        <f>IF(E385="","",IF(E385-N(G385)&lt;=0,"Lunas",IF(AND(F385&lt;&gt;"",F385&lt;TODAY()),"Terlambat","Belum lunas")))</f>
      </c>
    </row>
    <row r="386" spans="1:9" x14ac:dyDescent="0.25">
      <c r="A386" s="12"/>
      <c r="B386" s="8"/>
      <c r="C386" s="8"/>
      <c r="D386" s="8"/>
      <c r="E386" s="13"/>
      <c r="F386" s="12"/>
      <c r="G386" s="13"/>
      <c r="H386" s="16">
        <f>IF(E386="","",E386-N(G386))</f>
      </c>
      <c r="I386" s="15">
        <f>IF(E386="","",IF(E386-N(G386)&lt;=0,"Lunas",IF(AND(F386&lt;&gt;"",F386&lt;TODAY()),"Terlambat","Belum lunas")))</f>
      </c>
    </row>
    <row r="387" spans="1:9" x14ac:dyDescent="0.25">
      <c r="A387" s="12"/>
      <c r="B387" s="8"/>
      <c r="C387" s="8"/>
      <c r="D387" s="8"/>
      <c r="E387" s="13"/>
      <c r="F387" s="12"/>
      <c r="G387" s="13"/>
      <c r="H387" s="16">
        <f>IF(E387="","",E387-N(G387))</f>
      </c>
      <c r="I387" s="15">
        <f>IF(E387="","",IF(E387-N(G387)&lt;=0,"Lunas",IF(AND(F387&lt;&gt;"",F387&lt;TODAY()),"Terlambat","Belum lunas")))</f>
      </c>
    </row>
    <row r="388" spans="1:9" x14ac:dyDescent="0.25">
      <c r="A388" s="12"/>
      <c r="B388" s="8"/>
      <c r="C388" s="8"/>
      <c r="D388" s="8"/>
      <c r="E388" s="13"/>
      <c r="F388" s="12"/>
      <c r="G388" s="13"/>
      <c r="H388" s="16">
        <f>IF(E388="","",E388-N(G388))</f>
      </c>
      <c r="I388" s="15">
        <f>IF(E388="","",IF(E388-N(G388)&lt;=0,"Lunas",IF(AND(F388&lt;&gt;"",F388&lt;TODAY()),"Terlambat","Belum lunas")))</f>
      </c>
    </row>
    <row r="389" spans="1:9" x14ac:dyDescent="0.25">
      <c r="A389" s="12"/>
      <c r="B389" s="8"/>
      <c r="C389" s="8"/>
      <c r="D389" s="8"/>
      <c r="E389" s="13"/>
      <c r="F389" s="12"/>
      <c r="G389" s="13"/>
      <c r="H389" s="16">
        <f>IF(E389="","",E389-N(G389))</f>
      </c>
      <c r="I389" s="15">
        <f>IF(E389="","",IF(E389-N(G389)&lt;=0,"Lunas",IF(AND(F389&lt;&gt;"",F389&lt;TODAY()),"Terlambat","Belum lunas")))</f>
      </c>
    </row>
    <row r="390" spans="1:9" x14ac:dyDescent="0.25">
      <c r="A390" s="12"/>
      <c r="B390" s="8"/>
      <c r="C390" s="8"/>
      <c r="D390" s="8"/>
      <c r="E390" s="13"/>
      <c r="F390" s="12"/>
      <c r="G390" s="13"/>
      <c r="H390" s="16">
        <f>IF(E390="","",E390-N(G390))</f>
      </c>
      <c r="I390" s="15">
        <f>IF(E390="","",IF(E390-N(G390)&lt;=0,"Lunas",IF(AND(F390&lt;&gt;"",F390&lt;TODAY()),"Terlambat","Belum lunas")))</f>
      </c>
    </row>
    <row r="391" spans="1:9" x14ac:dyDescent="0.25">
      <c r="A391" s="12"/>
      <c r="B391" s="8"/>
      <c r="C391" s="8"/>
      <c r="D391" s="8"/>
      <c r="E391" s="13"/>
      <c r="F391" s="12"/>
      <c r="G391" s="13"/>
      <c r="H391" s="16">
        <f>IF(E391="","",E391-N(G391))</f>
      </c>
      <c r="I391" s="15">
        <f>IF(E391="","",IF(E391-N(G391)&lt;=0,"Lunas",IF(AND(F391&lt;&gt;"",F391&lt;TODAY()),"Terlambat","Belum lunas")))</f>
      </c>
    </row>
    <row r="392" spans="1:9" x14ac:dyDescent="0.25">
      <c r="A392" s="12"/>
      <c r="B392" s="8"/>
      <c r="C392" s="8"/>
      <c r="D392" s="8"/>
      <c r="E392" s="13"/>
      <c r="F392" s="12"/>
      <c r="G392" s="13"/>
      <c r="H392" s="16">
        <f>IF(E392="","",E392-N(G392))</f>
      </c>
      <c r="I392" s="15">
        <f>IF(E392="","",IF(E392-N(G392)&lt;=0,"Lunas",IF(AND(F392&lt;&gt;"",F392&lt;TODAY()),"Terlambat","Belum lunas")))</f>
      </c>
    </row>
    <row r="393" spans="1:9" x14ac:dyDescent="0.25">
      <c r="A393" s="12"/>
      <c r="B393" s="8"/>
      <c r="C393" s="8"/>
      <c r="D393" s="8"/>
      <c r="E393" s="13"/>
      <c r="F393" s="12"/>
      <c r="G393" s="13"/>
      <c r="H393" s="16">
        <f>IF(E393="","",E393-N(G393))</f>
      </c>
      <c r="I393" s="15">
        <f>IF(E393="","",IF(E393-N(G393)&lt;=0,"Lunas",IF(AND(F393&lt;&gt;"",F393&lt;TODAY()),"Terlambat","Belum lunas")))</f>
      </c>
    </row>
    <row r="394" spans="1:9" x14ac:dyDescent="0.25">
      <c r="A394" s="12"/>
      <c r="B394" s="8"/>
      <c r="C394" s="8"/>
      <c r="D394" s="8"/>
      <c r="E394" s="13"/>
      <c r="F394" s="12"/>
      <c r="G394" s="13"/>
      <c r="H394" s="16">
        <f>IF(E394="","",E394-N(G394))</f>
      </c>
      <c r="I394" s="15">
        <f>IF(E394="","",IF(E394-N(G394)&lt;=0,"Lunas",IF(AND(F394&lt;&gt;"",F394&lt;TODAY()),"Terlambat","Belum lunas")))</f>
      </c>
    </row>
    <row r="395" spans="1:9" x14ac:dyDescent="0.25">
      <c r="A395" s="12"/>
      <c r="B395" s="8"/>
      <c r="C395" s="8"/>
      <c r="D395" s="8"/>
      <c r="E395" s="13"/>
      <c r="F395" s="12"/>
      <c r="G395" s="13"/>
      <c r="H395" s="16">
        <f>IF(E395="","",E395-N(G395))</f>
      </c>
      <c r="I395" s="15">
        <f>IF(E395="","",IF(E395-N(G395)&lt;=0,"Lunas",IF(AND(F395&lt;&gt;"",F395&lt;TODAY()),"Terlambat","Belum lunas")))</f>
      </c>
    </row>
    <row r="396" spans="1:9" x14ac:dyDescent="0.25">
      <c r="A396" s="12"/>
      <c r="B396" s="8"/>
      <c r="C396" s="8"/>
      <c r="D396" s="8"/>
      <c r="E396" s="13"/>
      <c r="F396" s="12"/>
      <c r="G396" s="13"/>
      <c r="H396" s="16">
        <f>IF(E396="","",E396-N(G396))</f>
      </c>
      <c r="I396" s="15">
        <f>IF(E396="","",IF(E396-N(G396)&lt;=0,"Lunas",IF(AND(F396&lt;&gt;"",F396&lt;TODAY()),"Terlambat","Belum lunas")))</f>
      </c>
    </row>
    <row r="397" spans="1:9" x14ac:dyDescent="0.25">
      <c r="A397" s="12"/>
      <c r="B397" s="8"/>
      <c r="C397" s="8"/>
      <c r="D397" s="8"/>
      <c r="E397" s="13"/>
      <c r="F397" s="12"/>
      <c r="G397" s="13"/>
      <c r="H397" s="16">
        <f>IF(E397="","",E397-N(G397))</f>
      </c>
      <c r="I397" s="15">
        <f>IF(E397="","",IF(E397-N(G397)&lt;=0,"Lunas",IF(AND(F397&lt;&gt;"",F397&lt;TODAY()),"Terlambat","Belum lunas")))</f>
      </c>
    </row>
    <row r="398" spans="1:9" x14ac:dyDescent="0.25">
      <c r="A398" s="12"/>
      <c r="B398" s="8"/>
      <c r="C398" s="8"/>
      <c r="D398" s="8"/>
      <c r="E398" s="13"/>
      <c r="F398" s="12"/>
      <c r="G398" s="13"/>
      <c r="H398" s="16">
        <f>IF(E398="","",E398-N(G398))</f>
      </c>
      <c r="I398" s="15">
        <f>IF(E398="","",IF(E398-N(G398)&lt;=0,"Lunas",IF(AND(F398&lt;&gt;"",F398&lt;TODAY()),"Terlambat","Belum lunas")))</f>
      </c>
    </row>
    <row r="399" spans="1:9" x14ac:dyDescent="0.25">
      <c r="A399" s="12"/>
      <c r="B399" s="8"/>
      <c r="C399" s="8"/>
      <c r="D399" s="8"/>
      <c r="E399" s="13"/>
      <c r="F399" s="12"/>
      <c r="G399" s="13"/>
      <c r="H399" s="16">
        <f>IF(E399="","",E399-N(G399))</f>
      </c>
      <c r="I399" s="15">
        <f>IF(E399="","",IF(E399-N(G399)&lt;=0,"Lunas",IF(AND(F399&lt;&gt;"",F399&lt;TODAY()),"Terlambat","Belum lunas")))</f>
      </c>
    </row>
    <row r="400" spans="1:9" x14ac:dyDescent="0.25">
      <c r="A400" s="12"/>
      <c r="B400" s="8"/>
      <c r="C400" s="8"/>
      <c r="D400" s="8"/>
      <c r="E400" s="13"/>
      <c r="F400" s="12"/>
      <c r="G400" s="13"/>
      <c r="H400" s="16">
        <f>IF(E400="","",E400-N(G400))</f>
      </c>
      <c r="I400" s="15">
        <f>IF(E400="","",IF(E400-N(G400)&lt;=0,"Lunas",IF(AND(F400&lt;&gt;"",F400&lt;TODAY()),"Terlambat","Belum lunas")))</f>
      </c>
    </row>
    <row r="401" spans="1:9" x14ac:dyDescent="0.25">
      <c r="A401" s="12"/>
      <c r="B401" s="8"/>
      <c r="C401" s="8"/>
      <c r="D401" s="8"/>
      <c r="E401" s="13"/>
      <c r="F401" s="12"/>
      <c r="G401" s="13"/>
      <c r="H401" s="16">
        <f>IF(E401="","",E401-N(G401))</f>
      </c>
      <c r="I401" s="15">
        <f>IF(E401="","",IF(E401-N(G401)&lt;=0,"Lunas",IF(AND(F401&lt;&gt;"",F401&lt;TODAY()),"Terlambat","Belum lunas")))</f>
      </c>
    </row>
    <row r="402" spans="1:9" x14ac:dyDescent="0.25">
      <c r="A402" s="12"/>
      <c r="B402" s="8"/>
      <c r="C402" s="8"/>
      <c r="D402" s="8"/>
      <c r="E402" s="13"/>
      <c r="F402" s="12"/>
      <c r="G402" s="13"/>
      <c r="H402" s="16">
        <f>IF(E402="","",E402-N(G402))</f>
      </c>
      <c r="I402" s="15">
        <f>IF(E402="","",IF(E402-N(G402)&lt;=0,"Lunas",IF(AND(F402&lt;&gt;"",F402&lt;TODAY()),"Terlambat","Belum lunas")))</f>
      </c>
    </row>
    <row r="403" spans="1:9" x14ac:dyDescent="0.25">
      <c r="A403" s="12"/>
      <c r="B403" s="8"/>
      <c r="C403" s="8"/>
      <c r="D403" s="8"/>
      <c r="E403" s="13"/>
      <c r="F403" s="12"/>
      <c r="G403" s="13"/>
      <c r="H403" s="16">
        <f>IF(E403="","",E403-N(G403))</f>
      </c>
      <c r="I403" s="15">
        <f>IF(E403="","",IF(E403-N(G403)&lt;=0,"Lunas",IF(AND(F403&lt;&gt;"",F403&lt;TODAY()),"Terlambat","Belum lunas")))</f>
      </c>
    </row>
    <row r="404" spans="1:9" x14ac:dyDescent="0.25">
      <c r="A404" s="12"/>
      <c r="B404" s="8"/>
      <c r="C404" s="8"/>
      <c r="D404" s="8"/>
      <c r="E404" s="13"/>
      <c r="F404" s="12"/>
      <c r="G404" s="13"/>
      <c r="H404" s="16">
        <f>IF(E404="","",E404-N(G404))</f>
      </c>
      <c r="I404" s="15">
        <f>IF(E404="","",IF(E404-N(G404)&lt;=0,"Lunas",IF(AND(F404&lt;&gt;"",F404&lt;TODAY()),"Terlambat","Belum lunas")))</f>
      </c>
    </row>
    <row r="405" spans="1:9" x14ac:dyDescent="0.25">
      <c r="A405" s="12"/>
      <c r="B405" s="8"/>
      <c r="C405" s="8"/>
      <c r="D405" s="8"/>
      <c r="E405" s="13"/>
      <c r="F405" s="12"/>
      <c r="G405" s="13"/>
      <c r="H405" s="16">
        <f>IF(E405="","",E405-N(G405))</f>
      </c>
      <c r="I405" s="15">
        <f>IF(E405="","",IF(E405-N(G405)&lt;=0,"Lunas",IF(AND(F405&lt;&gt;"",F405&lt;TODAY()),"Terlambat","Belum lunas")))</f>
      </c>
    </row>
    <row r="406" spans="1:9" x14ac:dyDescent="0.25">
      <c r="A406" s="12"/>
      <c r="B406" s="8"/>
      <c r="C406" s="8"/>
      <c r="D406" s="8"/>
      <c r="E406" s="13"/>
      <c r="F406" s="12"/>
      <c r="G406" s="13"/>
      <c r="H406" s="16">
        <f>IF(E406="","",E406-N(G406))</f>
      </c>
      <c r="I406" s="15">
        <f>IF(E406="","",IF(E406-N(G406)&lt;=0,"Lunas",IF(AND(F406&lt;&gt;"",F406&lt;TODAY()),"Terlambat","Belum lunas")))</f>
      </c>
    </row>
    <row r="407" spans="1:9" x14ac:dyDescent="0.25">
      <c r="A407" s="12"/>
      <c r="B407" s="8"/>
      <c r="C407" s="8"/>
      <c r="D407" s="8"/>
      <c r="E407" s="13"/>
      <c r="F407" s="12"/>
      <c r="G407" s="13"/>
      <c r="H407" s="16">
        <f>IF(E407="","",E407-N(G407))</f>
      </c>
      <c r="I407" s="15">
        <f>IF(E407="","",IF(E407-N(G407)&lt;=0,"Lunas",IF(AND(F407&lt;&gt;"",F407&lt;TODAY()),"Terlambat","Belum lunas")))</f>
      </c>
    </row>
    <row r="408" spans="1:9" x14ac:dyDescent="0.25">
      <c r="A408" s="12"/>
      <c r="B408" s="8"/>
      <c r="C408" s="8"/>
      <c r="D408" s="8"/>
      <c r="E408" s="13"/>
      <c r="F408" s="12"/>
      <c r="G408" s="13"/>
      <c r="H408" s="16">
        <f>IF(E408="","",E408-N(G408))</f>
      </c>
      <c r="I408" s="15">
        <f>IF(E408="","",IF(E408-N(G408)&lt;=0,"Lunas",IF(AND(F408&lt;&gt;"",F408&lt;TODAY()),"Terlambat","Belum lunas")))</f>
      </c>
    </row>
    <row r="409" spans="1:9" x14ac:dyDescent="0.25">
      <c r="A409" s="12"/>
      <c r="B409" s="8"/>
      <c r="C409" s="8"/>
      <c r="D409" s="8"/>
      <c r="E409" s="13"/>
      <c r="F409" s="12"/>
      <c r="G409" s="13"/>
      <c r="H409" s="16">
        <f>IF(E409="","",E409-N(G409))</f>
      </c>
      <c r="I409" s="15">
        <f>IF(E409="","",IF(E409-N(G409)&lt;=0,"Lunas",IF(AND(F409&lt;&gt;"",F409&lt;TODAY()),"Terlambat","Belum lunas")))</f>
      </c>
    </row>
    <row r="410" spans="1:9" x14ac:dyDescent="0.25">
      <c r="A410" s="12"/>
      <c r="B410" s="8"/>
      <c r="C410" s="8"/>
      <c r="D410" s="8"/>
      <c r="E410" s="13"/>
      <c r="F410" s="12"/>
      <c r="G410" s="13"/>
      <c r="H410" s="16">
        <f>IF(E410="","",E410-N(G410))</f>
      </c>
      <c r="I410" s="15">
        <f>IF(E410="","",IF(E410-N(G410)&lt;=0,"Lunas",IF(AND(F410&lt;&gt;"",F410&lt;TODAY()),"Terlambat","Belum lunas")))</f>
      </c>
    </row>
    <row r="411" spans="1:9" x14ac:dyDescent="0.25">
      <c r="A411" s="12"/>
      <c r="B411" s="8"/>
      <c r="C411" s="8"/>
      <c r="D411" s="8"/>
      <c r="E411" s="13"/>
      <c r="F411" s="12"/>
      <c r="G411" s="13"/>
      <c r="H411" s="16">
        <f>IF(E411="","",E411-N(G411))</f>
      </c>
      <c r="I411" s="15">
        <f>IF(E411="","",IF(E411-N(G411)&lt;=0,"Lunas",IF(AND(F411&lt;&gt;"",F411&lt;TODAY()),"Terlambat","Belum lunas")))</f>
      </c>
    </row>
    <row r="412" spans="1:9" x14ac:dyDescent="0.25">
      <c r="A412" s="12"/>
      <c r="B412" s="8"/>
      <c r="C412" s="8"/>
      <c r="D412" s="8"/>
      <c r="E412" s="13"/>
      <c r="F412" s="12"/>
      <c r="G412" s="13"/>
      <c r="H412" s="16">
        <f>IF(E412="","",E412-N(G412))</f>
      </c>
      <c r="I412" s="15">
        <f>IF(E412="","",IF(E412-N(G412)&lt;=0,"Lunas",IF(AND(F412&lt;&gt;"",F412&lt;TODAY()),"Terlambat","Belum lunas")))</f>
      </c>
    </row>
    <row r="413" spans="1:9" x14ac:dyDescent="0.25">
      <c r="A413" s="12"/>
      <c r="B413" s="8"/>
      <c r="C413" s="8"/>
      <c r="D413" s="8"/>
      <c r="E413" s="13"/>
      <c r="F413" s="12"/>
      <c r="G413" s="13"/>
      <c r="H413" s="16">
        <f>IF(E413="","",E413-N(G413))</f>
      </c>
      <c r="I413" s="15">
        <f>IF(E413="","",IF(E413-N(G413)&lt;=0,"Lunas",IF(AND(F413&lt;&gt;"",F413&lt;TODAY()),"Terlambat","Belum lunas")))</f>
      </c>
    </row>
    <row r="414" spans="1:9" x14ac:dyDescent="0.25">
      <c r="A414" s="12"/>
      <c r="B414" s="8"/>
      <c r="C414" s="8"/>
      <c r="D414" s="8"/>
      <c r="E414" s="13"/>
      <c r="F414" s="12"/>
      <c r="G414" s="13"/>
      <c r="H414" s="16">
        <f>IF(E414="","",E414-N(G414))</f>
      </c>
      <c r="I414" s="15">
        <f>IF(E414="","",IF(E414-N(G414)&lt;=0,"Lunas",IF(AND(F414&lt;&gt;"",F414&lt;TODAY()),"Terlambat","Belum lunas")))</f>
      </c>
    </row>
    <row r="415" spans="1:9" x14ac:dyDescent="0.25">
      <c r="A415" s="12"/>
      <c r="B415" s="8"/>
      <c r="C415" s="8"/>
      <c r="D415" s="8"/>
      <c r="E415" s="13"/>
      <c r="F415" s="12"/>
      <c r="G415" s="13"/>
      <c r="H415" s="16">
        <f>IF(E415="","",E415-N(G415))</f>
      </c>
      <c r="I415" s="15">
        <f>IF(E415="","",IF(E415-N(G415)&lt;=0,"Lunas",IF(AND(F415&lt;&gt;"",F415&lt;TODAY()),"Terlambat","Belum lunas")))</f>
      </c>
    </row>
    <row r="416" spans="1:9" x14ac:dyDescent="0.25">
      <c r="A416" s="12"/>
      <c r="B416" s="8"/>
      <c r="C416" s="8"/>
      <c r="D416" s="8"/>
      <c r="E416" s="13"/>
      <c r="F416" s="12"/>
      <c r="G416" s="13"/>
      <c r="H416" s="16">
        <f>IF(E416="","",E416-N(G416))</f>
      </c>
      <c r="I416" s="15">
        <f>IF(E416="","",IF(E416-N(G416)&lt;=0,"Lunas",IF(AND(F416&lt;&gt;"",F416&lt;TODAY()),"Terlambat","Belum lunas")))</f>
      </c>
    </row>
    <row r="417" spans="1:9" x14ac:dyDescent="0.25">
      <c r="A417" s="12"/>
      <c r="B417" s="8"/>
      <c r="C417" s="8"/>
      <c r="D417" s="8"/>
      <c r="E417" s="13"/>
      <c r="F417" s="12"/>
      <c r="G417" s="13"/>
      <c r="H417" s="16">
        <f>IF(E417="","",E417-N(G417))</f>
      </c>
      <c r="I417" s="15">
        <f>IF(E417="","",IF(E417-N(G417)&lt;=0,"Lunas",IF(AND(F417&lt;&gt;"",F417&lt;TODAY()),"Terlambat","Belum lunas")))</f>
      </c>
    </row>
    <row r="418" spans="1:9" x14ac:dyDescent="0.25">
      <c r="A418" s="12"/>
      <c r="B418" s="8"/>
      <c r="C418" s="8"/>
      <c r="D418" s="8"/>
      <c r="E418" s="13"/>
      <c r="F418" s="12"/>
      <c r="G418" s="13"/>
      <c r="H418" s="16">
        <f>IF(E418="","",E418-N(G418))</f>
      </c>
      <c r="I418" s="15">
        <f>IF(E418="","",IF(E418-N(G418)&lt;=0,"Lunas",IF(AND(F418&lt;&gt;"",F418&lt;TODAY()),"Terlambat","Belum lunas")))</f>
      </c>
    </row>
    <row r="419" spans="1:9" x14ac:dyDescent="0.25">
      <c r="A419" s="12"/>
      <c r="B419" s="8"/>
      <c r="C419" s="8"/>
      <c r="D419" s="8"/>
      <c r="E419" s="13"/>
      <c r="F419" s="12"/>
      <c r="G419" s="13"/>
      <c r="H419" s="16">
        <f>IF(E419="","",E419-N(G419))</f>
      </c>
      <c r="I419" s="15">
        <f>IF(E419="","",IF(E419-N(G419)&lt;=0,"Lunas",IF(AND(F419&lt;&gt;"",F419&lt;TODAY()),"Terlambat","Belum lunas")))</f>
      </c>
    </row>
    <row r="420" spans="1:9" x14ac:dyDescent="0.25">
      <c r="A420" s="12"/>
      <c r="B420" s="8"/>
      <c r="C420" s="8"/>
      <c r="D420" s="8"/>
      <c r="E420" s="13"/>
      <c r="F420" s="12"/>
      <c r="G420" s="13"/>
      <c r="H420" s="16">
        <f>IF(E420="","",E420-N(G420))</f>
      </c>
      <c r="I420" s="15">
        <f>IF(E420="","",IF(E420-N(G420)&lt;=0,"Lunas",IF(AND(F420&lt;&gt;"",F420&lt;TODAY()),"Terlambat","Belum lunas")))</f>
      </c>
    </row>
    <row r="421" spans="1:9" x14ac:dyDescent="0.25">
      <c r="A421" s="12"/>
      <c r="B421" s="8"/>
      <c r="C421" s="8"/>
      <c r="D421" s="8"/>
      <c r="E421" s="13"/>
      <c r="F421" s="12"/>
      <c r="G421" s="13"/>
      <c r="H421" s="16">
        <f>IF(E421="","",E421-N(G421))</f>
      </c>
      <c r="I421" s="15">
        <f>IF(E421="","",IF(E421-N(G421)&lt;=0,"Lunas",IF(AND(F421&lt;&gt;"",F421&lt;TODAY()),"Terlambat","Belum lunas")))</f>
      </c>
    </row>
    <row r="422" spans="1:9" x14ac:dyDescent="0.25">
      <c r="A422" s="12"/>
      <c r="B422" s="8"/>
      <c r="C422" s="8"/>
      <c r="D422" s="8"/>
      <c r="E422" s="13"/>
      <c r="F422" s="12"/>
      <c r="G422" s="13"/>
      <c r="H422" s="16">
        <f>IF(E422="","",E422-N(G422))</f>
      </c>
      <c r="I422" s="15">
        <f>IF(E422="","",IF(E422-N(G422)&lt;=0,"Lunas",IF(AND(F422&lt;&gt;"",F422&lt;TODAY()),"Terlambat","Belum lunas")))</f>
      </c>
    </row>
    <row r="423" spans="1:9" x14ac:dyDescent="0.25">
      <c r="A423" s="12"/>
      <c r="B423" s="8"/>
      <c r="C423" s="8"/>
      <c r="D423" s="8"/>
      <c r="E423" s="13"/>
      <c r="F423" s="12"/>
      <c r="G423" s="13"/>
      <c r="H423" s="16">
        <f>IF(E423="","",E423-N(G423))</f>
      </c>
      <c r="I423" s="15">
        <f>IF(E423="","",IF(E423-N(G423)&lt;=0,"Lunas",IF(AND(F423&lt;&gt;"",F423&lt;TODAY()),"Terlambat","Belum lunas")))</f>
      </c>
    </row>
    <row r="424" spans="1:9" x14ac:dyDescent="0.25">
      <c r="A424" s="12"/>
      <c r="B424" s="8"/>
      <c r="C424" s="8"/>
      <c r="D424" s="8"/>
      <c r="E424" s="13"/>
      <c r="F424" s="12"/>
      <c r="G424" s="13"/>
      <c r="H424" s="16">
        <f>IF(E424="","",E424-N(G424))</f>
      </c>
      <c r="I424" s="15">
        <f>IF(E424="","",IF(E424-N(G424)&lt;=0,"Lunas",IF(AND(F424&lt;&gt;"",F424&lt;TODAY()),"Terlambat","Belum lunas")))</f>
      </c>
    </row>
    <row r="425" spans="1:9" x14ac:dyDescent="0.25">
      <c r="A425" s="12"/>
      <c r="B425" s="8"/>
      <c r="C425" s="8"/>
      <c r="D425" s="8"/>
      <c r="E425" s="13"/>
      <c r="F425" s="12"/>
      <c r="G425" s="13"/>
      <c r="H425" s="16">
        <f>IF(E425="","",E425-N(G425))</f>
      </c>
      <c r="I425" s="15">
        <f>IF(E425="","",IF(E425-N(G425)&lt;=0,"Lunas",IF(AND(F425&lt;&gt;"",F425&lt;TODAY()),"Terlambat","Belum lunas")))</f>
      </c>
    </row>
    <row r="426" spans="1:9" x14ac:dyDescent="0.25">
      <c r="A426" s="12"/>
      <c r="B426" s="8"/>
      <c r="C426" s="8"/>
      <c r="D426" s="8"/>
      <c r="E426" s="13"/>
      <c r="F426" s="12"/>
      <c r="G426" s="13"/>
      <c r="H426" s="16">
        <f>IF(E426="","",E426-N(G426))</f>
      </c>
      <c r="I426" s="15">
        <f>IF(E426="","",IF(E426-N(G426)&lt;=0,"Lunas",IF(AND(F426&lt;&gt;"",F426&lt;TODAY()),"Terlambat","Belum lunas")))</f>
      </c>
    </row>
    <row r="427" spans="1:9" x14ac:dyDescent="0.25">
      <c r="A427" s="12"/>
      <c r="B427" s="8"/>
      <c r="C427" s="8"/>
      <c r="D427" s="8"/>
      <c r="E427" s="13"/>
      <c r="F427" s="12"/>
      <c r="G427" s="13"/>
      <c r="H427" s="16">
        <f>IF(E427="","",E427-N(G427))</f>
      </c>
      <c r="I427" s="15">
        <f>IF(E427="","",IF(E427-N(G427)&lt;=0,"Lunas",IF(AND(F427&lt;&gt;"",F427&lt;TODAY()),"Terlambat","Belum lunas")))</f>
      </c>
    </row>
    <row r="428" spans="1:9" x14ac:dyDescent="0.25">
      <c r="A428" s="12"/>
      <c r="B428" s="8"/>
      <c r="C428" s="8"/>
      <c r="D428" s="8"/>
      <c r="E428" s="13"/>
      <c r="F428" s="12"/>
      <c r="G428" s="13"/>
      <c r="H428" s="16">
        <f>IF(E428="","",E428-N(G428))</f>
      </c>
      <c r="I428" s="15">
        <f>IF(E428="","",IF(E428-N(G428)&lt;=0,"Lunas",IF(AND(F428&lt;&gt;"",F428&lt;TODAY()),"Terlambat","Belum lunas")))</f>
      </c>
    </row>
    <row r="429" spans="1:9" x14ac:dyDescent="0.25">
      <c r="A429" s="12"/>
      <c r="B429" s="8"/>
      <c r="C429" s="8"/>
      <c r="D429" s="8"/>
      <c r="E429" s="13"/>
      <c r="F429" s="12"/>
      <c r="G429" s="13"/>
      <c r="H429" s="16">
        <f>IF(E429="","",E429-N(G429))</f>
      </c>
      <c r="I429" s="15">
        <f>IF(E429="","",IF(E429-N(G429)&lt;=0,"Lunas",IF(AND(F429&lt;&gt;"",F429&lt;TODAY()),"Terlambat","Belum lunas")))</f>
      </c>
    </row>
    <row r="430" spans="1:9" x14ac:dyDescent="0.25">
      <c r="A430" s="12"/>
      <c r="B430" s="8"/>
      <c r="C430" s="8"/>
      <c r="D430" s="8"/>
      <c r="E430" s="13"/>
      <c r="F430" s="12"/>
      <c r="G430" s="13"/>
      <c r="H430" s="16">
        <f>IF(E430="","",E430-N(G430))</f>
      </c>
      <c r="I430" s="15">
        <f>IF(E430="","",IF(E430-N(G430)&lt;=0,"Lunas",IF(AND(F430&lt;&gt;"",F430&lt;TODAY()),"Terlambat","Belum lunas")))</f>
      </c>
    </row>
    <row r="431" spans="1:9" x14ac:dyDescent="0.25">
      <c r="A431" s="12"/>
      <c r="B431" s="8"/>
      <c r="C431" s="8"/>
      <c r="D431" s="8"/>
      <c r="E431" s="13"/>
      <c r="F431" s="12"/>
      <c r="G431" s="13"/>
      <c r="H431" s="16">
        <f>IF(E431="","",E431-N(G431))</f>
      </c>
      <c r="I431" s="15">
        <f>IF(E431="","",IF(E431-N(G431)&lt;=0,"Lunas",IF(AND(F431&lt;&gt;"",F431&lt;TODAY()),"Terlambat","Belum lunas")))</f>
      </c>
    </row>
    <row r="432" spans="1:9" x14ac:dyDescent="0.25">
      <c r="A432" s="12"/>
      <c r="B432" s="8"/>
      <c r="C432" s="8"/>
      <c r="D432" s="8"/>
      <c r="E432" s="13"/>
      <c r="F432" s="12"/>
      <c r="G432" s="13"/>
      <c r="H432" s="16">
        <f>IF(E432="","",E432-N(G432))</f>
      </c>
      <c r="I432" s="15">
        <f>IF(E432="","",IF(E432-N(G432)&lt;=0,"Lunas",IF(AND(F432&lt;&gt;"",F432&lt;TODAY()),"Terlambat","Belum lunas")))</f>
      </c>
    </row>
    <row r="433" spans="1:9" x14ac:dyDescent="0.25">
      <c r="A433" s="12"/>
      <c r="B433" s="8"/>
      <c r="C433" s="8"/>
      <c r="D433" s="8"/>
      <c r="E433" s="13"/>
      <c r="F433" s="12"/>
      <c r="G433" s="13"/>
      <c r="H433" s="16">
        <f>IF(E433="","",E433-N(G433))</f>
      </c>
      <c r="I433" s="15">
        <f>IF(E433="","",IF(E433-N(G433)&lt;=0,"Lunas",IF(AND(F433&lt;&gt;"",F433&lt;TODAY()),"Terlambat","Belum lunas")))</f>
      </c>
    </row>
    <row r="434" spans="1:9" x14ac:dyDescent="0.25">
      <c r="A434" s="12"/>
      <c r="B434" s="8"/>
      <c r="C434" s="8"/>
      <c r="D434" s="8"/>
      <c r="E434" s="13"/>
      <c r="F434" s="12"/>
      <c r="G434" s="13"/>
      <c r="H434" s="16">
        <f>IF(E434="","",E434-N(G434))</f>
      </c>
      <c r="I434" s="15">
        <f>IF(E434="","",IF(E434-N(G434)&lt;=0,"Lunas",IF(AND(F434&lt;&gt;"",F434&lt;TODAY()),"Terlambat","Belum lunas")))</f>
      </c>
    </row>
    <row r="435" spans="1:9" x14ac:dyDescent="0.25">
      <c r="A435" s="12"/>
      <c r="B435" s="8"/>
      <c r="C435" s="8"/>
      <c r="D435" s="8"/>
      <c r="E435" s="13"/>
      <c r="F435" s="12"/>
      <c r="G435" s="13"/>
      <c r="H435" s="16">
        <f>IF(E435="","",E435-N(G435))</f>
      </c>
      <c r="I435" s="15">
        <f>IF(E435="","",IF(E435-N(G435)&lt;=0,"Lunas",IF(AND(F435&lt;&gt;"",F435&lt;TODAY()),"Terlambat","Belum lunas")))</f>
      </c>
    </row>
    <row r="436" spans="1:9" x14ac:dyDescent="0.25">
      <c r="A436" s="12"/>
      <c r="B436" s="8"/>
      <c r="C436" s="8"/>
      <c r="D436" s="8"/>
      <c r="E436" s="13"/>
      <c r="F436" s="12"/>
      <c r="G436" s="13"/>
      <c r="H436" s="16">
        <f>IF(E436="","",E436-N(G436))</f>
      </c>
      <c r="I436" s="15">
        <f>IF(E436="","",IF(E436-N(G436)&lt;=0,"Lunas",IF(AND(F436&lt;&gt;"",F436&lt;TODAY()),"Terlambat","Belum lunas")))</f>
      </c>
    </row>
    <row r="437" spans="1:9" x14ac:dyDescent="0.25">
      <c r="A437" s="12"/>
      <c r="B437" s="8"/>
      <c r="C437" s="8"/>
      <c r="D437" s="8"/>
      <c r="E437" s="13"/>
      <c r="F437" s="12"/>
      <c r="G437" s="13"/>
      <c r="H437" s="16">
        <f>IF(E437="","",E437-N(G437))</f>
      </c>
      <c r="I437" s="15">
        <f>IF(E437="","",IF(E437-N(G437)&lt;=0,"Lunas",IF(AND(F437&lt;&gt;"",F437&lt;TODAY()),"Terlambat","Belum lunas")))</f>
      </c>
    </row>
    <row r="438" spans="1:9" x14ac:dyDescent="0.25">
      <c r="A438" s="12"/>
      <c r="B438" s="8"/>
      <c r="C438" s="8"/>
      <c r="D438" s="8"/>
      <c r="E438" s="13"/>
      <c r="F438" s="12"/>
      <c r="G438" s="13"/>
      <c r="H438" s="16">
        <f>IF(E438="","",E438-N(G438))</f>
      </c>
      <c r="I438" s="15">
        <f>IF(E438="","",IF(E438-N(G438)&lt;=0,"Lunas",IF(AND(F438&lt;&gt;"",F438&lt;TODAY()),"Terlambat","Belum lunas")))</f>
      </c>
    </row>
    <row r="439" spans="1:9" x14ac:dyDescent="0.25">
      <c r="A439" s="12"/>
      <c r="B439" s="8"/>
      <c r="C439" s="8"/>
      <c r="D439" s="8"/>
      <c r="E439" s="13"/>
      <c r="F439" s="12"/>
      <c r="G439" s="13"/>
      <c r="H439" s="16">
        <f>IF(E439="","",E439-N(G439))</f>
      </c>
      <c r="I439" s="15">
        <f>IF(E439="","",IF(E439-N(G439)&lt;=0,"Lunas",IF(AND(F439&lt;&gt;"",F439&lt;TODAY()),"Terlambat","Belum lunas")))</f>
      </c>
    </row>
    <row r="440" spans="1:9" x14ac:dyDescent="0.25">
      <c r="A440" s="12"/>
      <c r="B440" s="8"/>
      <c r="C440" s="8"/>
      <c r="D440" s="8"/>
      <c r="E440" s="13"/>
      <c r="F440" s="12"/>
      <c r="G440" s="13"/>
      <c r="H440" s="16">
        <f>IF(E440="","",E440-N(G440))</f>
      </c>
      <c r="I440" s="15">
        <f>IF(E440="","",IF(E440-N(G440)&lt;=0,"Lunas",IF(AND(F440&lt;&gt;"",F440&lt;TODAY()),"Terlambat","Belum lunas")))</f>
      </c>
    </row>
    <row r="441" spans="1:9" x14ac:dyDescent="0.25">
      <c r="A441" s="12"/>
      <c r="B441" s="8"/>
      <c r="C441" s="8"/>
      <c r="D441" s="8"/>
      <c r="E441" s="13"/>
      <c r="F441" s="12"/>
      <c r="G441" s="13"/>
      <c r="H441" s="16">
        <f>IF(E441="","",E441-N(G441))</f>
      </c>
      <c r="I441" s="15">
        <f>IF(E441="","",IF(E441-N(G441)&lt;=0,"Lunas",IF(AND(F441&lt;&gt;"",F441&lt;TODAY()),"Terlambat","Belum lunas")))</f>
      </c>
    </row>
    <row r="442" spans="1:9" x14ac:dyDescent="0.25">
      <c r="A442" s="12"/>
      <c r="B442" s="8"/>
      <c r="C442" s="8"/>
      <c r="D442" s="8"/>
      <c r="E442" s="13"/>
      <c r="F442" s="12"/>
      <c r="G442" s="13"/>
      <c r="H442" s="16">
        <f>IF(E442="","",E442-N(G442))</f>
      </c>
      <c r="I442" s="15">
        <f>IF(E442="","",IF(E442-N(G442)&lt;=0,"Lunas",IF(AND(F442&lt;&gt;"",F442&lt;TODAY()),"Terlambat","Belum lunas")))</f>
      </c>
    </row>
    <row r="443" spans="1:9" x14ac:dyDescent="0.25">
      <c r="A443" s="12"/>
      <c r="B443" s="8"/>
      <c r="C443" s="8"/>
      <c r="D443" s="8"/>
      <c r="E443" s="13"/>
      <c r="F443" s="12"/>
      <c r="G443" s="13"/>
      <c r="H443" s="16">
        <f>IF(E443="","",E443-N(G443))</f>
      </c>
      <c r="I443" s="15">
        <f>IF(E443="","",IF(E443-N(G443)&lt;=0,"Lunas",IF(AND(F443&lt;&gt;"",F443&lt;TODAY()),"Terlambat","Belum lunas")))</f>
      </c>
    </row>
    <row r="444" spans="1:9" x14ac:dyDescent="0.25">
      <c r="A444" s="12"/>
      <c r="B444" s="8"/>
      <c r="C444" s="8"/>
      <c r="D444" s="8"/>
      <c r="E444" s="13"/>
      <c r="F444" s="12"/>
      <c r="G444" s="13"/>
      <c r="H444" s="16">
        <f>IF(E444="","",E444-N(G444))</f>
      </c>
      <c r="I444" s="15">
        <f>IF(E444="","",IF(E444-N(G444)&lt;=0,"Lunas",IF(AND(F444&lt;&gt;"",F444&lt;TODAY()),"Terlambat","Belum lunas")))</f>
      </c>
    </row>
    <row r="445" spans="1:9" x14ac:dyDescent="0.25">
      <c r="A445" s="12"/>
      <c r="B445" s="8"/>
      <c r="C445" s="8"/>
      <c r="D445" s="8"/>
      <c r="E445" s="13"/>
      <c r="F445" s="12"/>
      <c r="G445" s="13"/>
      <c r="H445" s="16">
        <f>IF(E445="","",E445-N(G445))</f>
      </c>
      <c r="I445" s="15">
        <f>IF(E445="","",IF(E445-N(G445)&lt;=0,"Lunas",IF(AND(F445&lt;&gt;"",F445&lt;TODAY()),"Terlambat","Belum lunas")))</f>
      </c>
    </row>
    <row r="446" spans="1:9" x14ac:dyDescent="0.25">
      <c r="A446" s="12"/>
      <c r="B446" s="8"/>
      <c r="C446" s="8"/>
      <c r="D446" s="8"/>
      <c r="E446" s="13"/>
      <c r="F446" s="12"/>
      <c r="G446" s="13"/>
      <c r="H446" s="16">
        <f>IF(E446="","",E446-N(G446))</f>
      </c>
      <c r="I446" s="15">
        <f>IF(E446="","",IF(E446-N(G446)&lt;=0,"Lunas",IF(AND(F446&lt;&gt;"",F446&lt;TODAY()),"Terlambat","Belum lunas")))</f>
      </c>
    </row>
    <row r="447" spans="1:9" x14ac:dyDescent="0.25">
      <c r="A447" s="12"/>
      <c r="B447" s="8"/>
      <c r="C447" s="8"/>
      <c r="D447" s="8"/>
      <c r="E447" s="13"/>
      <c r="F447" s="12"/>
      <c r="G447" s="13"/>
      <c r="H447" s="16">
        <f>IF(E447="","",E447-N(G447))</f>
      </c>
      <c r="I447" s="15">
        <f>IF(E447="","",IF(E447-N(G447)&lt;=0,"Lunas",IF(AND(F447&lt;&gt;"",F447&lt;TODAY()),"Terlambat","Belum lunas")))</f>
      </c>
    </row>
    <row r="448" spans="1:9" x14ac:dyDescent="0.25">
      <c r="A448" s="12"/>
      <c r="B448" s="8"/>
      <c r="C448" s="8"/>
      <c r="D448" s="8"/>
      <c r="E448" s="13"/>
      <c r="F448" s="12"/>
      <c r="G448" s="13"/>
      <c r="H448" s="16">
        <f>IF(E448="","",E448-N(G448))</f>
      </c>
      <c r="I448" s="15">
        <f>IF(E448="","",IF(E448-N(G448)&lt;=0,"Lunas",IF(AND(F448&lt;&gt;"",F448&lt;TODAY()),"Terlambat","Belum lunas")))</f>
      </c>
    </row>
    <row r="449" spans="1:9" x14ac:dyDescent="0.25">
      <c r="A449" s="12"/>
      <c r="B449" s="8"/>
      <c r="C449" s="8"/>
      <c r="D449" s="8"/>
      <c r="E449" s="13"/>
      <c r="F449" s="12"/>
      <c r="G449" s="13"/>
      <c r="H449" s="16">
        <f>IF(E449="","",E449-N(G449))</f>
      </c>
      <c r="I449" s="15">
        <f>IF(E449="","",IF(E449-N(G449)&lt;=0,"Lunas",IF(AND(F449&lt;&gt;"",F449&lt;TODAY()),"Terlambat","Belum lunas")))</f>
      </c>
    </row>
    <row r="450" spans="1:9" x14ac:dyDescent="0.25">
      <c r="A450" s="12"/>
      <c r="B450" s="8"/>
      <c r="C450" s="8"/>
      <c r="D450" s="8"/>
      <c r="E450" s="13"/>
      <c r="F450" s="12"/>
      <c r="G450" s="13"/>
      <c r="H450" s="16">
        <f>IF(E450="","",E450-N(G450))</f>
      </c>
      <c r="I450" s="15">
        <f>IF(E450="","",IF(E450-N(G450)&lt;=0,"Lunas",IF(AND(F450&lt;&gt;"",F450&lt;TODAY()),"Terlambat","Belum lunas")))</f>
      </c>
    </row>
    <row r="451" spans="1:9" x14ac:dyDescent="0.25">
      <c r="A451" s="12"/>
      <c r="B451" s="8"/>
      <c r="C451" s="8"/>
      <c r="D451" s="8"/>
      <c r="E451" s="13"/>
      <c r="F451" s="12"/>
      <c r="G451" s="13"/>
      <c r="H451" s="16">
        <f>IF(E451="","",E451-N(G451))</f>
      </c>
      <c r="I451" s="15">
        <f>IF(E451="","",IF(E451-N(G451)&lt;=0,"Lunas",IF(AND(F451&lt;&gt;"",F451&lt;TODAY()),"Terlambat","Belum lunas")))</f>
      </c>
    </row>
    <row r="452" spans="1:9" x14ac:dyDescent="0.25">
      <c r="A452" s="12"/>
      <c r="B452" s="8"/>
      <c r="C452" s="8"/>
      <c r="D452" s="8"/>
      <c r="E452" s="13"/>
      <c r="F452" s="12"/>
      <c r="G452" s="13"/>
      <c r="H452" s="16">
        <f>IF(E452="","",E452-N(G452))</f>
      </c>
      <c r="I452" s="15">
        <f>IF(E452="","",IF(E452-N(G452)&lt;=0,"Lunas",IF(AND(F452&lt;&gt;"",F452&lt;TODAY()),"Terlambat","Belum lunas")))</f>
      </c>
    </row>
    <row r="453" spans="1:9" x14ac:dyDescent="0.25">
      <c r="A453" s="12"/>
      <c r="B453" s="8"/>
      <c r="C453" s="8"/>
      <c r="D453" s="8"/>
      <c r="E453" s="13"/>
      <c r="F453" s="12"/>
      <c r="G453" s="13"/>
      <c r="H453" s="16">
        <f>IF(E453="","",E453-N(G453))</f>
      </c>
      <c r="I453" s="15">
        <f>IF(E453="","",IF(E453-N(G453)&lt;=0,"Lunas",IF(AND(F453&lt;&gt;"",F453&lt;TODAY()),"Terlambat","Belum lunas")))</f>
      </c>
    </row>
    <row r="454" spans="1:9" x14ac:dyDescent="0.25">
      <c r="A454" s="12"/>
      <c r="B454" s="8"/>
      <c r="C454" s="8"/>
      <c r="D454" s="8"/>
      <c r="E454" s="13"/>
      <c r="F454" s="12"/>
      <c r="G454" s="13"/>
      <c r="H454" s="16">
        <f>IF(E454="","",E454-N(G454))</f>
      </c>
      <c r="I454" s="15">
        <f>IF(E454="","",IF(E454-N(G454)&lt;=0,"Lunas",IF(AND(F454&lt;&gt;"",F454&lt;TODAY()),"Terlambat","Belum lunas")))</f>
      </c>
    </row>
    <row r="455" spans="1:9" x14ac:dyDescent="0.25">
      <c r="A455" s="12"/>
      <c r="B455" s="8"/>
      <c r="C455" s="8"/>
      <c r="D455" s="8"/>
      <c r="E455" s="13"/>
      <c r="F455" s="12"/>
      <c r="G455" s="13"/>
      <c r="H455" s="16">
        <f>IF(E455="","",E455-N(G455))</f>
      </c>
      <c r="I455" s="15">
        <f>IF(E455="","",IF(E455-N(G455)&lt;=0,"Lunas",IF(AND(F455&lt;&gt;"",F455&lt;TODAY()),"Terlambat","Belum lunas")))</f>
      </c>
    </row>
    <row r="456" spans="1:9" x14ac:dyDescent="0.25">
      <c r="A456" s="12"/>
      <c r="B456" s="8"/>
      <c r="C456" s="8"/>
      <c r="D456" s="8"/>
      <c r="E456" s="13"/>
      <c r="F456" s="12"/>
      <c r="G456" s="13"/>
      <c r="H456" s="16">
        <f>IF(E456="","",E456-N(G456))</f>
      </c>
      <c r="I456" s="15">
        <f>IF(E456="","",IF(E456-N(G456)&lt;=0,"Lunas",IF(AND(F456&lt;&gt;"",F456&lt;TODAY()),"Terlambat","Belum lunas")))</f>
      </c>
    </row>
    <row r="457" spans="1:9" x14ac:dyDescent="0.25">
      <c r="A457" s="12"/>
      <c r="B457" s="8"/>
      <c r="C457" s="8"/>
      <c r="D457" s="8"/>
      <c r="E457" s="13"/>
      <c r="F457" s="12"/>
      <c r="G457" s="13"/>
      <c r="H457" s="16">
        <f>IF(E457="","",E457-N(G457))</f>
      </c>
      <c r="I457" s="15">
        <f>IF(E457="","",IF(E457-N(G457)&lt;=0,"Lunas",IF(AND(F457&lt;&gt;"",F457&lt;TODAY()),"Terlambat","Belum lunas")))</f>
      </c>
    </row>
    <row r="458" spans="1:9" x14ac:dyDescent="0.25">
      <c r="A458" s="12"/>
      <c r="B458" s="8"/>
      <c r="C458" s="8"/>
      <c r="D458" s="8"/>
      <c r="E458" s="13"/>
      <c r="F458" s="12"/>
      <c r="G458" s="13"/>
      <c r="H458" s="16">
        <f>IF(E458="","",E458-N(G458))</f>
      </c>
      <c r="I458" s="15">
        <f>IF(E458="","",IF(E458-N(G458)&lt;=0,"Lunas",IF(AND(F458&lt;&gt;"",F458&lt;TODAY()),"Terlambat","Belum lunas")))</f>
      </c>
    </row>
    <row r="459" spans="1:9" x14ac:dyDescent="0.25">
      <c r="A459" s="12"/>
      <c r="B459" s="8"/>
      <c r="C459" s="8"/>
      <c r="D459" s="8"/>
      <c r="E459" s="13"/>
      <c r="F459" s="12"/>
      <c r="G459" s="13"/>
      <c r="H459" s="16">
        <f>IF(E459="","",E459-N(G459))</f>
      </c>
      <c r="I459" s="15">
        <f>IF(E459="","",IF(E459-N(G459)&lt;=0,"Lunas",IF(AND(F459&lt;&gt;"",F459&lt;TODAY()),"Terlambat","Belum lunas")))</f>
      </c>
    </row>
    <row r="460" spans="1:9" x14ac:dyDescent="0.25">
      <c r="A460" s="12"/>
      <c r="B460" s="8"/>
      <c r="C460" s="8"/>
      <c r="D460" s="8"/>
      <c r="E460" s="13"/>
      <c r="F460" s="12"/>
      <c r="G460" s="13"/>
      <c r="H460" s="16">
        <f>IF(E460="","",E460-N(G460))</f>
      </c>
      <c r="I460" s="15">
        <f>IF(E460="","",IF(E460-N(G460)&lt;=0,"Lunas",IF(AND(F460&lt;&gt;"",F460&lt;TODAY()),"Terlambat","Belum lunas")))</f>
      </c>
    </row>
    <row r="461" spans="1:9" x14ac:dyDescent="0.25">
      <c r="A461" s="12"/>
      <c r="B461" s="8"/>
      <c r="C461" s="8"/>
      <c r="D461" s="8"/>
      <c r="E461" s="13"/>
      <c r="F461" s="12"/>
      <c r="G461" s="13"/>
      <c r="H461" s="16">
        <f>IF(E461="","",E461-N(G461))</f>
      </c>
      <c r="I461" s="15">
        <f>IF(E461="","",IF(E461-N(G461)&lt;=0,"Lunas",IF(AND(F461&lt;&gt;"",F461&lt;TODAY()),"Terlambat","Belum lunas")))</f>
      </c>
    </row>
    <row r="462" spans="1:9" x14ac:dyDescent="0.25">
      <c r="A462" s="12"/>
      <c r="B462" s="8"/>
      <c r="C462" s="8"/>
      <c r="D462" s="8"/>
      <c r="E462" s="13"/>
      <c r="F462" s="12"/>
      <c r="G462" s="13"/>
      <c r="H462" s="16">
        <f>IF(E462="","",E462-N(G462))</f>
      </c>
      <c r="I462" s="15">
        <f>IF(E462="","",IF(E462-N(G462)&lt;=0,"Lunas",IF(AND(F462&lt;&gt;"",F462&lt;TODAY()),"Terlambat","Belum lunas")))</f>
      </c>
    </row>
    <row r="463" spans="1:9" x14ac:dyDescent="0.25">
      <c r="A463" s="12"/>
      <c r="B463" s="8"/>
      <c r="C463" s="8"/>
      <c r="D463" s="8"/>
      <c r="E463" s="13"/>
      <c r="F463" s="12"/>
      <c r="G463" s="13"/>
      <c r="H463" s="16">
        <f>IF(E463="","",E463-N(G463))</f>
      </c>
      <c r="I463" s="15">
        <f>IF(E463="","",IF(E463-N(G463)&lt;=0,"Lunas",IF(AND(F463&lt;&gt;"",F463&lt;TODAY()),"Terlambat","Belum lunas")))</f>
      </c>
    </row>
    <row r="464" spans="1:9" x14ac:dyDescent="0.25">
      <c r="A464" s="12"/>
      <c r="B464" s="8"/>
      <c r="C464" s="8"/>
      <c r="D464" s="8"/>
      <c r="E464" s="13"/>
      <c r="F464" s="12"/>
      <c r="G464" s="13"/>
      <c r="H464" s="16">
        <f>IF(E464="","",E464-N(G464))</f>
      </c>
      <c r="I464" s="15">
        <f>IF(E464="","",IF(E464-N(G464)&lt;=0,"Lunas",IF(AND(F464&lt;&gt;"",F464&lt;TODAY()),"Terlambat","Belum lunas")))</f>
      </c>
    </row>
    <row r="465" spans="1:9" x14ac:dyDescent="0.25">
      <c r="A465" s="12"/>
      <c r="B465" s="8"/>
      <c r="C465" s="8"/>
      <c r="D465" s="8"/>
      <c r="E465" s="13"/>
      <c r="F465" s="12"/>
      <c r="G465" s="13"/>
      <c r="H465" s="16">
        <f>IF(E465="","",E465-N(G465))</f>
      </c>
      <c r="I465" s="15">
        <f>IF(E465="","",IF(E465-N(G465)&lt;=0,"Lunas",IF(AND(F465&lt;&gt;"",F465&lt;TODAY()),"Terlambat","Belum lunas")))</f>
      </c>
    </row>
    <row r="466" spans="1:9" x14ac:dyDescent="0.25">
      <c r="A466" s="12"/>
      <c r="B466" s="8"/>
      <c r="C466" s="8"/>
      <c r="D466" s="8"/>
      <c r="E466" s="13"/>
      <c r="F466" s="12"/>
      <c r="G466" s="13"/>
      <c r="H466" s="16">
        <f>IF(E466="","",E466-N(G466))</f>
      </c>
      <c r="I466" s="15">
        <f>IF(E466="","",IF(E466-N(G466)&lt;=0,"Lunas",IF(AND(F466&lt;&gt;"",F466&lt;TODAY()),"Terlambat","Belum lunas")))</f>
      </c>
    </row>
    <row r="467" spans="1:9" x14ac:dyDescent="0.25">
      <c r="A467" s="12"/>
      <c r="B467" s="8"/>
      <c r="C467" s="8"/>
      <c r="D467" s="8"/>
      <c r="E467" s="13"/>
      <c r="F467" s="12"/>
      <c r="G467" s="13"/>
      <c r="H467" s="16">
        <f>IF(E467="","",E467-N(G467))</f>
      </c>
      <c r="I467" s="15">
        <f>IF(E467="","",IF(E467-N(G467)&lt;=0,"Lunas",IF(AND(F467&lt;&gt;"",F467&lt;TODAY()),"Terlambat","Belum lunas")))</f>
      </c>
    </row>
    <row r="468" spans="1:9" x14ac:dyDescent="0.25">
      <c r="A468" s="12"/>
      <c r="B468" s="8"/>
      <c r="C468" s="8"/>
      <c r="D468" s="8"/>
      <c r="E468" s="13"/>
      <c r="F468" s="12"/>
      <c r="G468" s="13"/>
      <c r="H468" s="16">
        <f>IF(E468="","",E468-N(G468))</f>
      </c>
      <c r="I468" s="15">
        <f>IF(E468="","",IF(E468-N(G468)&lt;=0,"Lunas",IF(AND(F468&lt;&gt;"",F468&lt;TODAY()),"Terlambat","Belum lunas")))</f>
      </c>
    </row>
    <row r="469" spans="1:9" x14ac:dyDescent="0.25">
      <c r="A469" s="12"/>
      <c r="B469" s="8"/>
      <c r="C469" s="8"/>
      <c r="D469" s="8"/>
      <c r="E469" s="13"/>
      <c r="F469" s="12"/>
      <c r="G469" s="13"/>
      <c r="H469" s="16">
        <f>IF(E469="","",E469-N(G469))</f>
      </c>
      <c r="I469" s="15">
        <f>IF(E469="","",IF(E469-N(G469)&lt;=0,"Lunas",IF(AND(F469&lt;&gt;"",F469&lt;TODAY()),"Terlambat","Belum lunas")))</f>
      </c>
    </row>
    <row r="470" spans="1:9" x14ac:dyDescent="0.25">
      <c r="A470" s="12"/>
      <c r="B470" s="8"/>
      <c r="C470" s="8"/>
      <c r="D470" s="8"/>
      <c r="E470" s="13"/>
      <c r="F470" s="12"/>
      <c r="G470" s="13"/>
      <c r="H470" s="16">
        <f>IF(E470="","",E470-N(G470))</f>
      </c>
      <c r="I470" s="15">
        <f>IF(E470="","",IF(E470-N(G470)&lt;=0,"Lunas",IF(AND(F470&lt;&gt;"",F470&lt;TODAY()),"Terlambat","Belum lunas")))</f>
      </c>
    </row>
    <row r="471" spans="1:9" x14ac:dyDescent="0.25">
      <c r="A471" s="12"/>
      <c r="B471" s="8"/>
      <c r="C471" s="8"/>
      <c r="D471" s="8"/>
      <c r="E471" s="13"/>
      <c r="F471" s="12"/>
      <c r="G471" s="13"/>
      <c r="H471" s="16">
        <f>IF(E471="","",E471-N(G471))</f>
      </c>
      <c r="I471" s="15">
        <f>IF(E471="","",IF(E471-N(G471)&lt;=0,"Lunas",IF(AND(F471&lt;&gt;"",F471&lt;TODAY()),"Terlambat","Belum lunas")))</f>
      </c>
    </row>
    <row r="472" spans="1:9" x14ac:dyDescent="0.25">
      <c r="A472" s="12"/>
      <c r="B472" s="8"/>
      <c r="C472" s="8"/>
      <c r="D472" s="8"/>
      <c r="E472" s="13"/>
      <c r="F472" s="12"/>
      <c r="G472" s="13"/>
      <c r="H472" s="16">
        <f>IF(E472="","",E472-N(G472))</f>
      </c>
      <c r="I472" s="15">
        <f>IF(E472="","",IF(E472-N(G472)&lt;=0,"Lunas",IF(AND(F472&lt;&gt;"",F472&lt;TODAY()),"Terlambat","Belum lunas")))</f>
      </c>
    </row>
    <row r="473" spans="1:9" x14ac:dyDescent="0.25">
      <c r="A473" s="12"/>
      <c r="B473" s="8"/>
      <c r="C473" s="8"/>
      <c r="D473" s="8"/>
      <c r="E473" s="13"/>
      <c r="F473" s="12"/>
      <c r="G473" s="13"/>
      <c r="H473" s="16">
        <f>IF(E473="","",E473-N(G473))</f>
      </c>
      <c r="I473" s="15">
        <f>IF(E473="","",IF(E473-N(G473)&lt;=0,"Lunas",IF(AND(F473&lt;&gt;"",F473&lt;TODAY()),"Terlambat","Belum lunas")))</f>
      </c>
    </row>
    <row r="474" spans="1:9" x14ac:dyDescent="0.25">
      <c r="A474" s="12"/>
      <c r="B474" s="8"/>
      <c r="C474" s="8"/>
      <c r="D474" s="8"/>
      <c r="E474" s="13"/>
      <c r="F474" s="12"/>
      <c r="G474" s="13"/>
      <c r="H474" s="16">
        <f>IF(E474="","",E474-N(G474))</f>
      </c>
      <c r="I474" s="15">
        <f>IF(E474="","",IF(E474-N(G474)&lt;=0,"Lunas",IF(AND(F474&lt;&gt;"",F474&lt;TODAY()),"Terlambat","Belum lunas")))</f>
      </c>
    </row>
    <row r="475" spans="1:9" x14ac:dyDescent="0.25">
      <c r="A475" s="12"/>
      <c r="B475" s="8"/>
      <c r="C475" s="8"/>
      <c r="D475" s="8"/>
      <c r="E475" s="13"/>
      <c r="F475" s="12"/>
      <c r="G475" s="13"/>
      <c r="H475" s="16">
        <f>IF(E475="","",E475-N(G475))</f>
      </c>
      <c r="I475" s="15">
        <f>IF(E475="","",IF(E475-N(G475)&lt;=0,"Lunas",IF(AND(F475&lt;&gt;"",F475&lt;TODAY()),"Terlambat","Belum lunas")))</f>
      </c>
    </row>
    <row r="476" spans="1:9" x14ac:dyDescent="0.25">
      <c r="A476" s="12"/>
      <c r="B476" s="8"/>
      <c r="C476" s="8"/>
      <c r="D476" s="8"/>
      <c r="E476" s="13"/>
      <c r="F476" s="12"/>
      <c r="G476" s="13"/>
      <c r="H476" s="16">
        <f>IF(E476="","",E476-N(G476))</f>
      </c>
      <c r="I476" s="15">
        <f>IF(E476="","",IF(E476-N(G476)&lt;=0,"Lunas",IF(AND(F476&lt;&gt;"",F476&lt;TODAY()),"Terlambat","Belum lunas")))</f>
      </c>
    </row>
    <row r="477" spans="1:9" x14ac:dyDescent="0.25">
      <c r="A477" s="12"/>
      <c r="B477" s="8"/>
      <c r="C477" s="8"/>
      <c r="D477" s="8"/>
      <c r="E477" s="13"/>
      <c r="F477" s="12"/>
      <c r="G477" s="13"/>
      <c r="H477" s="16">
        <f>IF(E477="","",E477-N(G477))</f>
      </c>
      <c r="I477" s="15">
        <f>IF(E477="","",IF(E477-N(G477)&lt;=0,"Lunas",IF(AND(F477&lt;&gt;"",F477&lt;TODAY()),"Terlambat","Belum lunas")))</f>
      </c>
    </row>
    <row r="478" spans="1:9" x14ac:dyDescent="0.25">
      <c r="A478" s="12"/>
      <c r="B478" s="8"/>
      <c r="C478" s="8"/>
      <c r="D478" s="8"/>
      <c r="E478" s="13"/>
      <c r="F478" s="12"/>
      <c r="G478" s="13"/>
      <c r="H478" s="16">
        <f>IF(E478="","",E478-N(G478))</f>
      </c>
      <c r="I478" s="15">
        <f>IF(E478="","",IF(E478-N(G478)&lt;=0,"Lunas",IF(AND(F478&lt;&gt;"",F478&lt;TODAY()),"Terlambat","Belum lunas")))</f>
      </c>
    </row>
    <row r="479" spans="1:9" x14ac:dyDescent="0.25">
      <c r="A479" s="12"/>
      <c r="B479" s="8"/>
      <c r="C479" s="8"/>
      <c r="D479" s="8"/>
      <c r="E479" s="13"/>
      <c r="F479" s="12"/>
      <c r="G479" s="13"/>
      <c r="H479" s="16">
        <f>IF(E479="","",E479-N(G479))</f>
      </c>
      <c r="I479" s="15">
        <f>IF(E479="","",IF(E479-N(G479)&lt;=0,"Lunas",IF(AND(F479&lt;&gt;"",F479&lt;TODAY()),"Terlambat","Belum lunas")))</f>
      </c>
    </row>
    <row r="480" spans="1:9" x14ac:dyDescent="0.25">
      <c r="A480" s="12"/>
      <c r="B480" s="8"/>
      <c r="C480" s="8"/>
      <c r="D480" s="8"/>
      <c r="E480" s="13"/>
      <c r="F480" s="12"/>
      <c r="G480" s="13"/>
      <c r="H480" s="16">
        <f>IF(E480="","",E480-N(G480))</f>
      </c>
      <c r="I480" s="15">
        <f>IF(E480="","",IF(E480-N(G480)&lt;=0,"Lunas",IF(AND(F480&lt;&gt;"",F480&lt;TODAY()),"Terlambat","Belum lunas")))</f>
      </c>
    </row>
    <row r="481" spans="1:9" x14ac:dyDescent="0.25">
      <c r="A481" s="12"/>
      <c r="B481" s="8"/>
      <c r="C481" s="8"/>
      <c r="D481" s="8"/>
      <c r="E481" s="13"/>
      <c r="F481" s="12"/>
      <c r="G481" s="13"/>
      <c r="H481" s="16">
        <f>IF(E481="","",E481-N(G481))</f>
      </c>
      <c r="I481" s="15">
        <f>IF(E481="","",IF(E481-N(G481)&lt;=0,"Lunas",IF(AND(F481&lt;&gt;"",F481&lt;TODAY()),"Terlambat","Belum lunas")))</f>
      </c>
    </row>
    <row r="482" spans="1:9" x14ac:dyDescent="0.25">
      <c r="A482" s="12"/>
      <c r="B482" s="8"/>
      <c r="C482" s="8"/>
      <c r="D482" s="8"/>
      <c r="E482" s="13"/>
      <c r="F482" s="12"/>
      <c r="G482" s="13"/>
      <c r="H482" s="16">
        <f>IF(E482="","",E482-N(G482))</f>
      </c>
      <c r="I482" s="15">
        <f>IF(E482="","",IF(E482-N(G482)&lt;=0,"Lunas",IF(AND(F482&lt;&gt;"",F482&lt;TODAY()),"Terlambat","Belum lunas")))</f>
      </c>
    </row>
    <row r="483" spans="1:9" x14ac:dyDescent="0.25">
      <c r="A483" s="12"/>
      <c r="B483" s="8"/>
      <c r="C483" s="8"/>
      <c r="D483" s="8"/>
      <c r="E483" s="13"/>
      <c r="F483" s="12"/>
      <c r="G483" s="13"/>
      <c r="H483" s="16">
        <f>IF(E483="","",E483-N(G483))</f>
      </c>
      <c r="I483" s="15">
        <f>IF(E483="","",IF(E483-N(G483)&lt;=0,"Lunas",IF(AND(F483&lt;&gt;"",F483&lt;TODAY()),"Terlambat","Belum lunas")))</f>
      </c>
    </row>
    <row r="484" spans="1:9" x14ac:dyDescent="0.25">
      <c r="A484" s="12"/>
      <c r="B484" s="8"/>
      <c r="C484" s="8"/>
      <c r="D484" s="8"/>
      <c r="E484" s="13"/>
      <c r="F484" s="12"/>
      <c r="G484" s="13"/>
      <c r="H484" s="16">
        <f>IF(E484="","",E484-N(G484))</f>
      </c>
      <c r="I484" s="15">
        <f>IF(E484="","",IF(E484-N(G484)&lt;=0,"Lunas",IF(AND(F484&lt;&gt;"",F484&lt;TODAY()),"Terlambat","Belum lunas")))</f>
      </c>
    </row>
    <row r="485" spans="1:9" x14ac:dyDescent="0.25">
      <c r="A485" s="12"/>
      <c r="B485" s="8"/>
      <c r="C485" s="8"/>
      <c r="D485" s="8"/>
      <c r="E485" s="13"/>
      <c r="F485" s="12"/>
      <c r="G485" s="13"/>
      <c r="H485" s="16">
        <f>IF(E485="","",E485-N(G485))</f>
      </c>
      <c r="I485" s="15">
        <f>IF(E485="","",IF(E485-N(G485)&lt;=0,"Lunas",IF(AND(F485&lt;&gt;"",F485&lt;TODAY()),"Terlambat","Belum lunas")))</f>
      </c>
    </row>
    <row r="486" spans="1:9" x14ac:dyDescent="0.25">
      <c r="A486" s="12"/>
      <c r="B486" s="8"/>
      <c r="C486" s="8"/>
      <c r="D486" s="8"/>
      <c r="E486" s="13"/>
      <c r="F486" s="12"/>
      <c r="G486" s="13"/>
      <c r="H486" s="16">
        <f>IF(E486="","",E486-N(G486))</f>
      </c>
      <c r="I486" s="15">
        <f>IF(E486="","",IF(E486-N(G486)&lt;=0,"Lunas",IF(AND(F486&lt;&gt;"",F486&lt;TODAY()),"Terlambat","Belum lunas")))</f>
      </c>
    </row>
    <row r="487" spans="1:9" x14ac:dyDescent="0.25">
      <c r="A487" s="12"/>
      <c r="B487" s="8"/>
      <c r="C487" s="8"/>
      <c r="D487" s="8"/>
      <c r="E487" s="13"/>
      <c r="F487" s="12"/>
      <c r="G487" s="13"/>
      <c r="H487" s="16">
        <f>IF(E487="","",E487-N(G487))</f>
      </c>
      <c r="I487" s="15">
        <f>IF(E487="","",IF(E487-N(G487)&lt;=0,"Lunas",IF(AND(F487&lt;&gt;"",F487&lt;TODAY()),"Terlambat","Belum lunas")))</f>
      </c>
    </row>
    <row r="488" spans="1:9" x14ac:dyDescent="0.25">
      <c r="A488" s="12"/>
      <c r="B488" s="8"/>
      <c r="C488" s="8"/>
      <c r="D488" s="8"/>
      <c r="E488" s="13"/>
      <c r="F488" s="12"/>
      <c r="G488" s="13"/>
      <c r="H488" s="16">
        <f>IF(E488="","",E488-N(G488))</f>
      </c>
      <c r="I488" s="15">
        <f>IF(E488="","",IF(E488-N(G488)&lt;=0,"Lunas",IF(AND(F488&lt;&gt;"",F488&lt;TODAY()),"Terlambat","Belum lunas")))</f>
      </c>
    </row>
    <row r="489" spans="1:9" x14ac:dyDescent="0.25">
      <c r="A489" s="12"/>
      <c r="B489" s="8"/>
      <c r="C489" s="8"/>
      <c r="D489" s="8"/>
      <c r="E489" s="13"/>
      <c r="F489" s="12"/>
      <c r="G489" s="13"/>
      <c r="H489" s="16">
        <f>IF(E489="","",E489-N(G489))</f>
      </c>
      <c r="I489" s="15">
        <f>IF(E489="","",IF(E489-N(G489)&lt;=0,"Lunas",IF(AND(F489&lt;&gt;"",F489&lt;TODAY()),"Terlambat","Belum lunas")))</f>
      </c>
    </row>
    <row r="490" spans="1:9" x14ac:dyDescent="0.25">
      <c r="A490" s="12"/>
      <c r="B490" s="8"/>
      <c r="C490" s="8"/>
      <c r="D490" s="8"/>
      <c r="E490" s="13"/>
      <c r="F490" s="12"/>
      <c r="G490" s="13"/>
      <c r="H490" s="16">
        <f>IF(E490="","",E490-N(G490))</f>
      </c>
      <c r="I490" s="15">
        <f>IF(E490="","",IF(E490-N(G490)&lt;=0,"Lunas",IF(AND(F490&lt;&gt;"",F490&lt;TODAY()),"Terlambat","Belum lunas")))</f>
      </c>
    </row>
    <row r="491" spans="1:9" x14ac:dyDescent="0.25">
      <c r="A491" s="12"/>
      <c r="B491" s="8"/>
      <c r="C491" s="8"/>
      <c r="D491" s="8"/>
      <c r="E491" s="13"/>
      <c r="F491" s="12"/>
      <c r="G491" s="13"/>
      <c r="H491" s="16">
        <f>IF(E491="","",E491-N(G491))</f>
      </c>
      <c r="I491" s="15">
        <f>IF(E491="","",IF(E491-N(G491)&lt;=0,"Lunas",IF(AND(F491&lt;&gt;"",F491&lt;TODAY()),"Terlambat","Belum lunas")))</f>
      </c>
    </row>
    <row r="492" spans="1:9" x14ac:dyDescent="0.25">
      <c r="A492" s="12"/>
      <c r="B492" s="8"/>
      <c r="C492" s="8"/>
      <c r="D492" s="8"/>
      <c r="E492" s="13"/>
      <c r="F492" s="12"/>
      <c r="G492" s="13"/>
      <c r="H492" s="16">
        <f>IF(E492="","",E492-N(G492))</f>
      </c>
      <c r="I492" s="15">
        <f>IF(E492="","",IF(E492-N(G492)&lt;=0,"Lunas",IF(AND(F492&lt;&gt;"",F492&lt;TODAY()),"Terlambat","Belum lunas")))</f>
      </c>
    </row>
    <row r="493" spans="1:9" x14ac:dyDescent="0.25">
      <c r="A493" s="12"/>
      <c r="B493" s="8"/>
      <c r="C493" s="8"/>
      <c r="D493" s="8"/>
      <c r="E493" s="13"/>
      <c r="F493" s="12"/>
      <c r="G493" s="13"/>
      <c r="H493" s="16">
        <f>IF(E493="","",E493-N(G493))</f>
      </c>
      <c r="I493" s="15">
        <f>IF(E493="","",IF(E493-N(G493)&lt;=0,"Lunas",IF(AND(F493&lt;&gt;"",F493&lt;TODAY()),"Terlambat","Belum lunas")))</f>
      </c>
    </row>
    <row r="494" spans="1:9" x14ac:dyDescent="0.25">
      <c r="A494" s="12"/>
      <c r="B494" s="8"/>
      <c r="C494" s="8"/>
      <c r="D494" s="8"/>
      <c r="E494" s="13"/>
      <c r="F494" s="12"/>
      <c r="G494" s="13"/>
      <c r="H494" s="16">
        <f>IF(E494="","",E494-N(G494))</f>
      </c>
      <c r="I494" s="15">
        <f>IF(E494="","",IF(E494-N(G494)&lt;=0,"Lunas",IF(AND(F494&lt;&gt;"",F494&lt;TODAY()),"Terlambat","Belum lunas")))</f>
      </c>
    </row>
    <row r="495" spans="1:9" x14ac:dyDescent="0.25">
      <c r="A495" s="12"/>
      <c r="B495" s="8"/>
      <c r="C495" s="8"/>
      <c r="D495" s="8"/>
      <c r="E495" s="13"/>
      <c r="F495" s="12"/>
      <c r="G495" s="13"/>
      <c r="H495" s="16">
        <f>IF(E495="","",E495-N(G495))</f>
      </c>
      <c r="I495" s="15">
        <f>IF(E495="","",IF(E495-N(G495)&lt;=0,"Lunas",IF(AND(F495&lt;&gt;"",F495&lt;TODAY()),"Terlambat","Belum lunas")))</f>
      </c>
    </row>
    <row r="496" spans="1:9" x14ac:dyDescent="0.25">
      <c r="A496" s="12"/>
      <c r="B496" s="8"/>
      <c r="C496" s="8"/>
      <c r="D496" s="8"/>
      <c r="E496" s="13"/>
      <c r="F496" s="12"/>
      <c r="G496" s="13"/>
      <c r="H496" s="16">
        <f>IF(E496="","",E496-N(G496))</f>
      </c>
      <c r="I496" s="15">
        <f>IF(E496="","",IF(E496-N(G496)&lt;=0,"Lunas",IF(AND(F496&lt;&gt;"",F496&lt;TODAY()),"Terlambat","Belum lunas")))</f>
      </c>
    </row>
    <row r="497" spans="1:9" x14ac:dyDescent="0.25">
      <c r="A497" s="12"/>
      <c r="B497" s="8"/>
      <c r="C497" s="8"/>
      <c r="D497" s="8"/>
      <c r="E497" s="13"/>
      <c r="F497" s="12"/>
      <c r="G497" s="13"/>
      <c r="H497" s="16">
        <f>IF(E497="","",E497-N(G497))</f>
      </c>
      <c r="I497" s="15">
        <f>IF(E497="","",IF(E497-N(G497)&lt;=0,"Lunas",IF(AND(F497&lt;&gt;"",F497&lt;TODAY()),"Terlambat","Belum lunas")))</f>
      </c>
    </row>
    <row r="498" spans="1:9" x14ac:dyDescent="0.25">
      <c r="A498" s="12"/>
      <c r="B498" s="8"/>
      <c r="C498" s="8"/>
      <c r="D498" s="8"/>
      <c r="E498" s="13"/>
      <c r="F498" s="12"/>
      <c r="G498" s="13"/>
      <c r="H498" s="16">
        <f>IF(E498="","",E498-N(G498))</f>
      </c>
      <c r="I498" s="15">
        <f>IF(E498="","",IF(E498-N(G498)&lt;=0,"Lunas",IF(AND(F498&lt;&gt;"",F498&lt;TODAY()),"Terlambat","Belum lunas")))</f>
      </c>
    </row>
    <row r="499" spans="1:9" x14ac:dyDescent="0.25">
      <c r="A499" s="12"/>
      <c r="B499" s="8"/>
      <c r="C499" s="8"/>
      <c r="D499" s="8"/>
      <c r="E499" s="13"/>
      <c r="F499" s="12"/>
      <c r="G499" s="13"/>
      <c r="H499" s="16">
        <f>IF(E499="","",E499-N(G499))</f>
      </c>
      <c r="I499" s="15">
        <f>IF(E499="","",IF(E499-N(G499)&lt;=0,"Lunas",IF(AND(F499&lt;&gt;"",F499&lt;TODAY()),"Terlambat","Belum lunas")))</f>
      </c>
    </row>
    <row r="500" spans="1:9" x14ac:dyDescent="0.25">
      <c r="A500" s="12"/>
      <c r="B500" s="8"/>
      <c r="C500" s="8"/>
      <c r="D500" s="8"/>
      <c r="E500" s="13"/>
      <c r="F500" s="12"/>
      <c r="G500" s="13"/>
      <c r="H500" s="16">
        <f>IF(E500="","",E500-N(G500))</f>
      </c>
      <c r="I500" s="15">
        <f>IF(E500="","",IF(E500-N(G500)&lt;=0,"Lunas",IF(AND(F500&lt;&gt;"",F500&lt;TODAY()),"Terlambat","Belum lunas")))</f>
      </c>
    </row>
    <row r="501" spans="1:9" x14ac:dyDescent="0.25">
      <c r="A501" s="12"/>
      <c r="B501" s="8"/>
      <c r="C501" s="8"/>
      <c r="D501" s="8"/>
      <c r="E501" s="13"/>
      <c r="F501" s="12"/>
      <c r="G501" s="13"/>
      <c r="H501" s="16">
        <f>IF(E501="","",E501-N(G501))</f>
      </c>
      <c r="I501" s="15">
        <f>IF(E501="","",IF(E501-N(G501)&lt;=0,"Lunas",IF(AND(F501&lt;&gt;"",F501&lt;TODAY()),"Terlambat","Belum lunas")))</f>
      </c>
    </row>
    <row r="502" spans="1:9" x14ac:dyDescent="0.25">
      <c r="A502" s="12"/>
      <c r="B502" s="8"/>
      <c r="C502" s="8"/>
      <c r="D502" s="8"/>
      <c r="E502" s="13"/>
      <c r="F502" s="12"/>
      <c r="G502" s="13"/>
      <c r="H502" s="16">
        <f>IF(E502="","",E502-N(G502))</f>
      </c>
      <c r="I502" s="15">
        <f>IF(E502="","",IF(E502-N(G502)&lt;=0,"Lunas",IF(AND(F502&lt;&gt;"",F502&lt;TODAY()),"Terlambat","Belum lunas")))</f>
      </c>
    </row>
    <row r="503" spans="1:9" x14ac:dyDescent="0.25">
      <c r="A503" s="12"/>
      <c r="B503" s="8"/>
      <c r="C503" s="8"/>
      <c r="D503" s="8"/>
      <c r="E503" s="13"/>
      <c r="F503" s="12"/>
      <c r="G503" s="13"/>
      <c r="H503" s="16">
        <f>IF(E503="","",E503-N(G503))</f>
      </c>
      <c r="I503" s="15">
        <f>IF(E503="","",IF(E503-N(G503)&lt;=0,"Lunas",IF(AND(F503&lt;&gt;"",F503&lt;TODAY()),"Terlambat","Belum lunas")))</f>
      </c>
    </row>
    <row r="504" spans="1:9" x14ac:dyDescent="0.25">
      <c r="A504" s="12"/>
      <c r="B504" s="8"/>
      <c r="C504" s="8"/>
      <c r="D504" s="8"/>
      <c r="E504" s="13"/>
      <c r="F504" s="12"/>
      <c r="G504" s="13"/>
      <c r="H504" s="16">
        <f>IF(E504="","",E504-N(G504))</f>
      </c>
      <c r="I504" s="15">
        <f>IF(E504="","",IF(E504-N(G504)&lt;=0,"Lunas",IF(AND(F504&lt;&gt;"",F504&lt;TODAY()),"Terlambat","Belum lunas")))</f>
      </c>
    </row>
    <row r="505" spans="1:9" x14ac:dyDescent="0.25">
      <c r="A505" s="12"/>
      <c r="B505" s="8"/>
      <c r="C505" s="8"/>
      <c r="D505" s="8"/>
      <c r="E505" s="13"/>
      <c r="F505" s="12"/>
      <c r="G505" s="13"/>
      <c r="H505" s="16">
        <f>IF(E505="","",E505-N(G505))</f>
      </c>
      <c r="I505" s="15">
        <f>IF(E505="","",IF(E505-N(G505)&lt;=0,"Lunas",IF(AND(F505&lt;&gt;"",F505&lt;TODAY()),"Terlambat","Belum lunas")))</f>
      </c>
    </row>
    <row r="506" spans="1:9" x14ac:dyDescent="0.25">
      <c r="A506" s="12"/>
      <c r="B506" s="8"/>
      <c r="C506" s="8"/>
      <c r="D506" s="8"/>
      <c r="E506" s="13"/>
      <c r="F506" s="12"/>
      <c r="G506" s="13"/>
      <c r="H506" s="16">
        <f>IF(E506="","",E506-N(G506))</f>
      </c>
      <c r="I506" s="15">
        <f>IF(E506="","",IF(E506-N(G506)&lt;=0,"Lunas",IF(AND(F506&lt;&gt;"",F506&lt;TODAY()),"Terlambat","Belum lunas")))</f>
      </c>
    </row>
    <row r="507" spans="1:9" x14ac:dyDescent="0.25">
      <c r="A507" s="12"/>
      <c r="B507" s="8"/>
      <c r="C507" s="8"/>
      <c r="D507" s="8"/>
      <c r="E507" s="13"/>
      <c r="F507" s="12"/>
      <c r="G507" s="13"/>
      <c r="H507" s="16">
        <f>IF(E507="","",E507-N(G507))</f>
      </c>
      <c r="I507" s="15">
        <f>IF(E507="","",IF(E507-N(G507)&lt;=0,"Lunas",IF(AND(F507&lt;&gt;"",F507&lt;TODAY()),"Terlambat","Belum lunas")))</f>
      </c>
    </row>
    <row r="508" spans="1:9" x14ac:dyDescent="0.25">
      <c r="A508" s="12"/>
      <c r="B508" s="8"/>
      <c r="C508" s="8"/>
      <c r="D508" s="8"/>
      <c r="E508" s="13"/>
      <c r="F508" s="12"/>
      <c r="G508" s="13"/>
      <c r="H508" s="16">
        <f>IF(E508="","",E508-N(G508))</f>
      </c>
      <c r="I508" s="15">
        <f>IF(E508="","",IF(E508-N(G508)&lt;=0,"Lunas",IF(AND(F508&lt;&gt;"",F508&lt;TODAY()),"Terlambat","Belum lunas")))</f>
      </c>
    </row>
  </sheetData>
  <mergeCells count="3">
    <mergeCell ref="A4:B4"/>
    <mergeCell ref="A5:B5"/>
    <mergeCell ref="A6:B6"/>
  </mergeCells>
  <conditionalFormatting sqref="I9:I508">
    <cfRule type="cellIs" dxfId="0" priority="1" operator="equal">
      <formula>"Lunas"</formula>
    </cfRule>
    <cfRule type="cellIs" dxfId="1" priority="2" operator="equal">
      <formula>"Terlambat"</formula>
    </cfRule>
  </conditionalFormatting>
  <dataValidations count="2">
    <dataValidation type="list" allowBlank="1" showErrorMessage="1" errorTitle="Pilih salah satu" error="Pilih Piutang atau Utang." sqref="B9:B508">
      <formula1>"Piutang,Utang"</formula1>
    </dataValidation>
    <dataValidation type="decimal" operator="greaterThanOrEqual" allowBlank="1" showErrorMessage="1" errorTitle="Jumlah tidak valid" error="Isi angka tanpa tanda minus." sqref="E9:E50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Petunjuk</vt:lpstr>
      <vt:lpstr>Daftar</vt:lpstr>
      <vt:lpstr>Kas Masuk</vt:lpstr>
      <vt:lpstr>Kas Keluar</vt:lpstr>
      <vt:lpstr>Ringkasan Bulanan</vt:lpstr>
      <vt:lpstr>Utang Piutang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LaciQ</dc:creator>
  <dc:title>Template Buku Kas UMKM</dc:title>
  <dc:subject/>
  <dc:description/>
  <cp:keywords/>
  <cp:category/>
  <cp:lastModifiedBy>Unknown</cp:lastModifiedBy>
  <dcterms:created xsi:type="dcterms:W3CDTF">2026-10-28T06:05:32Z</dcterms:created>
  <dcterms:modified xsi:type="dcterms:W3CDTF">2026-10-28T06:05:32Z</dcterms:modified>
</cp:coreProperties>
</file>