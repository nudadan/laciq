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sumsi" sheetId="2" state="visible" r:id="rId2"/>
    <sheet xmlns:r="http://schemas.openxmlformats.org/officeDocument/2006/relationships" name="Per_Pelanggan" sheetId="3" state="visible" r:id="rId3"/>
    <sheet xmlns:r="http://schemas.openxmlformats.org/officeDocument/2006/relationships" name="Skenario" sheetId="4" state="visible" r:id="rId4"/>
    <sheet xmlns:r="http://schemas.openxmlformats.org/officeDocument/2006/relationships" name="Sensitivit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&quot;"/>
    <numFmt numFmtId="165" formatCode="0.0%;(0.0%);&quot;-&quot;"/>
    <numFmt numFmtId="166" formatCode="#,##0.0;(#,##0.0);&quot;-&quot;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4"/>
    </font>
    <font>
      <name val="Arial"/>
      <i val="1"/>
      <color rgb="00595959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color rgb="00008000"/>
      <sz val="10"/>
    </font>
    <font>
      <name val="Arial"/>
      <b val="1"/>
      <color rgb="000000FF"/>
      <sz val="10"/>
    </font>
    <font>
      <name val="Arial"/>
      <b val="1"/>
      <color rgb="00008000"/>
      <sz val="10"/>
    </font>
  </fonts>
  <fills count="5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FFFF00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3" fillId="3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164" fontId="5" fillId="3" borderId="1" pivotButton="0" quotePrefix="0" xfId="0"/>
    <xf numFmtId="165" fontId="5" fillId="3" borderId="1" pivotButton="0" quotePrefix="0" xfId="0"/>
    <xf numFmtId="165" fontId="5" fillId="0" borderId="1" pivotButton="0" quotePrefix="0" xfId="0"/>
    <xf numFmtId="1" fontId="5" fillId="3" borderId="1" pivotButton="0" quotePrefix="0" xfId="0"/>
    <xf numFmtId="164" fontId="5" fillId="0" borderId="1" pivotButton="0" quotePrefix="0" xfId="0"/>
    <xf numFmtId="166" fontId="5" fillId="0" borderId="1" pivotButton="0" quotePrefix="0" xfId="0"/>
    <xf numFmtId="2" fontId="5" fillId="0" borderId="1" pivotButton="0" quotePrefix="0" xfId="0"/>
    <xf numFmtId="0" fontId="3" fillId="4" borderId="1" applyAlignment="1" pivotButton="0" quotePrefix="0" xfId="0">
      <alignment horizontal="left"/>
    </xf>
    <xf numFmtId="0" fontId="3" fillId="4" borderId="1" applyAlignment="1" pivotButton="0" quotePrefix="0" xfId="0">
      <alignment horizontal="center"/>
    </xf>
    <xf numFmtId="164" fontId="4" fillId="0" borderId="1" pivotButton="0" quotePrefix="0" xfId="0"/>
    <xf numFmtId="0" fontId="3" fillId="0" borderId="0" pivotButton="0" quotePrefix="0" xfId="0"/>
    <xf numFmtId="164" fontId="3" fillId="0" borderId="1" pivotButton="0" quotePrefix="0" xfId="0"/>
    <xf numFmtId="165" fontId="4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0" fontId="3" fillId="4" borderId="1" pivotButton="0" quotePrefix="0" xfId="0"/>
    <xf numFmtId="165" fontId="7" fillId="4" borderId="1" applyAlignment="1" pivotButton="0" quotePrefix="0" xfId="0">
      <alignment horizontal="center"/>
    </xf>
    <xf numFmtId="164" fontId="7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Proyeksi finansial LaciQ</t>
        </is>
      </c>
    </row>
    <row r="2">
      <c r="A2" s="2" t="inlineStr">
        <is>
          <t>Disusun 2026-10-05; asumsi PPN dikoreksi 2026-10-09 setelah pesanan nyata pertama. PERKIRAAN dari asumsi, bukan ramalan dan bukan nasihat pajak.</t>
        </is>
      </c>
    </row>
    <row r="4">
      <c r="A4" s="3" t="inlineStr">
        <is>
          <t>Cara memakai</t>
        </is>
      </c>
      <c r="B4" s="4" t="inlineStr"/>
    </row>
    <row r="5">
      <c r="A5" s="5" t="inlineStr">
        <is>
          <t>1</t>
        </is>
      </c>
      <c r="B5" s="4" t="inlineStr">
        <is>
          <t>Buka sheet Asumsi. Ubah hanya sel BERWARNA BIRU (kuning = tuas utama). Sel hitam adalah rumus; jangan ditimpa.</t>
        </is>
      </c>
    </row>
    <row r="6">
      <c r="A6" s="5" t="inlineStr">
        <is>
          <t>2</t>
        </is>
      </c>
      <c r="B6" s="4" t="inlineStr">
        <is>
          <t>Per_Pelanggan: dari harga yang dibayar sampai net per pelanggan (Premium, Ultimate dengan AI tipikal, Ultimate dengan kuota AI penuh).</t>
        </is>
      </c>
    </row>
    <row r="7">
      <c r="A7" s="5" t="inlineStr">
        <is>
          <t>3</t>
        </is>
      </c>
      <c r="B7" s="4" t="inlineStr">
        <is>
          <t>Skenario: tiga skenario bulan ke-12 (Konservatif, Moderat, Optimis), net per bulan dan per tahun, kasus terburuk biaya AI, dan iklan.</t>
        </is>
      </c>
    </row>
    <row r="8">
      <c r="A8" s="5" t="inlineStr">
        <is>
          <t>4</t>
        </is>
      </c>
      <c r="B8" s="4" t="inlineStr">
        <is>
          <t>Sensitivitas: tabel net per tahun untuk kombinasi pengguna aktif dan konversi, plus titik impas terhadap target penghasilan.</t>
        </is>
      </c>
    </row>
    <row r="9">
      <c r="A9" s="5" t="inlineStr"/>
      <c r="B9" s="4" t="inlineStr"/>
    </row>
    <row r="10">
      <c r="A10" s="3" t="inlineStr">
        <is>
          <t>Kode warna</t>
        </is>
      </c>
      <c r="B10" s="4" t="inlineStr"/>
    </row>
    <row r="11">
      <c r="A11" s="6" t="inlineStr">
        <is>
          <t>Biru</t>
        </is>
      </c>
      <c r="B11" s="4" t="inlineStr">
        <is>
          <t>Input yang bisa Anda ubah.</t>
        </is>
      </c>
    </row>
    <row r="12">
      <c r="A12" s="7" t="inlineStr">
        <is>
          <t>Kuning</t>
        </is>
      </c>
      <c r="B12" s="4" t="inlineStr">
        <is>
          <t>Tuas utama (harga, bauran, skenario, skema pajak, asumsi PPN).</t>
        </is>
      </c>
    </row>
    <row r="13">
      <c r="A13" s="3" t="inlineStr">
        <is>
          <t>Hitam</t>
        </is>
      </c>
      <c r="B13" s="4" t="inlineStr">
        <is>
          <t>Rumus.</t>
        </is>
      </c>
    </row>
    <row r="14">
      <c r="A14" s="8" t="inlineStr">
        <is>
          <t>Hijau</t>
        </is>
      </c>
      <c r="B14" s="4" t="inlineStr">
        <is>
          <t>Tautan langsung ke sheet lain.</t>
        </is>
      </c>
    </row>
    <row r="15">
      <c r="A15" s="5" t="inlineStr"/>
      <c r="B15" s="4" t="inlineStr"/>
    </row>
    <row r="16">
      <c r="A16" s="3" t="inlineStr">
        <is>
          <t>Asumsi penting</t>
        </is>
      </c>
      <c r="B16" s="4" t="inlineStr"/>
    </row>
    <row r="17">
      <c r="A17" s="5" t="inlineStr">
        <is>
          <t>PPN</t>
        </is>
      </c>
      <c r="B17" s="4" t="inlineStr">
        <is>
          <t>Harga di Play (Rp7.500, Rp12.500, dst.) adalah harga JUAL tanpa PPN. PPN 11% ditambahkan di atas harga dan dipungut/disetor Google, jadi pelanggan Ultimate bulanan membayar Rp13.875. Biaya Google 15% dihitung dari harga jual. TERVERIFIKASI dari pesanan nyata 2026-10-09.</t>
        </is>
      </c>
    </row>
    <row r="18">
      <c r="A18" s="5" t="inlineStr">
        <is>
          <t>Biaya Google</t>
        </is>
      </c>
      <c r="B18" s="4" t="inlineStr">
        <is>
          <t>15% untuk langganan sejak hari pertama.</t>
        </is>
      </c>
    </row>
    <row r="19">
      <c r="A19" s="5" t="inlineStr">
        <is>
          <t>PPh</t>
        </is>
      </c>
      <c r="B19" s="4" t="inlineStr">
        <is>
          <t>PPh final 0,5% (PP 55/2022). Orang pribadi: omzet sampai Rp500 juta/tahun bebas. PT/CV: tanpa batas. Default workbook = skema 2 (PT/CV).</t>
        </is>
      </c>
    </row>
    <row r="20">
      <c r="A20" s="5" t="inlineStr">
        <is>
          <t>Biaya AI</t>
        </is>
      </c>
      <c r="B20" s="4" t="inlineStr">
        <is>
          <t>Scan struk Rp4,6 per scan = TERUKUR. Ringkasan AI Rp30 = PERKIRAAN. Suara dan Excel tanpa biaya (diproses di HP/layanan Android).</t>
        </is>
      </c>
    </row>
    <row r="21">
      <c r="A21" s="5" t="inlineStr">
        <is>
          <t>Pengguna dan konversi</t>
        </is>
      </c>
      <c r="B21" s="4" t="inlineStr">
        <is>
          <t>TEBAKAN. Ganti dengan data nyata (Play Console, RevenueCat) setelah 1-2 bulan di produksi.</t>
        </is>
      </c>
    </row>
    <row r="22">
      <c r="A22" s="5" t="inlineStr">
        <is>
          <t>Iklan AdMob</t>
        </is>
      </c>
      <c r="B22" s="4" t="inlineStr">
        <is>
          <t>Kepercayaan RENDAH, akun belum disetujui. Dipisahkan dari net langganan.</t>
        </is>
      </c>
    </row>
    <row r="23">
      <c r="A23" s="5" t="inlineStr">
        <is>
          <t>Tidak dihitung</t>
        </is>
      </c>
      <c r="B23" s="4" t="inlineStr">
        <is>
          <t>Biaya mendapatkan pengguna, refund/chargeback, selisih kurs, waktu pengembangan, biaya bank.</t>
        </is>
      </c>
    </row>
    <row r="24">
      <c r="A24" s="5" t="inlineStr">
        <is>
          <t>Pajak</t>
        </is>
      </c>
      <c r="B24" s="4" t="inlineStr">
        <is>
          <t>Konfirmasikan angka pajak dan status wajib pajak ke konsultan pajak. Aturan dan tarif bisa berubah.</t>
        </is>
      </c>
    </row>
    <row r="25">
      <c r="A25" s="5" t="inlineStr"/>
      <c r="B25" s="4" t="inlineStr"/>
    </row>
    <row r="26">
      <c r="A26" s="5" t="inlineStr">
        <is>
          <t>Sumber</t>
        </is>
      </c>
      <c r="B26" s="4" t="inlineStr">
        <is>
          <t>docs/PROYEKSI-FINANSIAL.md; docs/MATRIKS-FITUR-PAKET.md (harga); docs/RENCANA-IMPLEMENTASI-ULTIMATE-LANJUTAN.md §9 (biaya scan); log Worker `ai_usage`.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8" customWidth="1" min="1" max="1"/>
    <col width="18" customWidth="1" min="2" max="2"/>
    <col width="18" customWidth="1" min="3" max="3"/>
    <col width="18" customWidth="1" min="4" max="4"/>
    <col width="70" customWidth="1" min="5" max="5"/>
  </cols>
  <sheetData>
    <row r="1">
      <c r="A1" s="1" t="inlineStr">
        <is>
          <t>Asumsi (ubah sel BIRU; sel kuning = tuas utama)</t>
        </is>
      </c>
    </row>
    <row r="2">
      <c r="A2" s="2" t="inlineStr">
        <is>
          <t>Semua angka lain di workbook ini dihitung dari sel di halaman ini. Satuan: Rupiah kecuali disebut lain.</t>
        </is>
      </c>
    </row>
    <row r="3">
      <c r="A3" s="9" t="inlineStr">
        <is>
          <t>Harga langganan (Rp, harga jual di Play, BELUM termasuk PPN)</t>
        </is>
      </c>
      <c r="B3" s="10" t="n"/>
      <c r="C3" s="10" t="n"/>
      <c r="D3" s="10" t="n"/>
      <c r="E3" s="10" t="n"/>
    </row>
    <row r="4">
      <c r="A4" s="11" t="inlineStr">
        <is>
          <t>Premium bulanan</t>
        </is>
      </c>
      <c r="B4" s="12" t="n">
        <v>7500</v>
      </c>
      <c r="E4" s="2" t="inlineStr">
        <is>
          <t>Ditetapkan 2026-09-29 (MATRIKS-FITUR-PAKET.md).</t>
        </is>
      </c>
    </row>
    <row r="5">
      <c r="A5" s="11" t="inlineStr">
        <is>
          <t>Premium tahunan</t>
        </is>
      </c>
      <c r="B5" s="12" t="n">
        <v>75000</v>
      </c>
      <c r="E5" s="2" t="inlineStr">
        <is>
          <t>Idem.</t>
        </is>
      </c>
    </row>
    <row r="6">
      <c r="A6" s="11" t="inlineStr">
        <is>
          <t>Ultimate bulanan</t>
        </is>
      </c>
      <c r="B6" s="12" t="n">
        <v>12500</v>
      </c>
      <c r="E6" s="2" t="inlineStr">
        <is>
          <t>Idem.</t>
        </is>
      </c>
    </row>
    <row r="7">
      <c r="A7" s="11" t="inlineStr">
        <is>
          <t>Ultimate tahunan</t>
        </is>
      </c>
      <c r="B7" s="12" t="n">
        <v>125000</v>
      </c>
      <c r="E7" s="2" t="inlineStr">
        <is>
          <t>Idem.</t>
        </is>
      </c>
    </row>
    <row r="8">
      <c r="A8" s="11" t="inlineStr">
        <is>
          <t>Porsi pelanggan bulanan (sisanya tahunan)</t>
        </is>
      </c>
      <c r="B8" s="13" t="n">
        <v>0.6</v>
      </c>
      <c r="E8" s="2" t="inlineStr">
        <is>
          <t>ASUMSI pemilik/analis, belum ada data. Tahunan = kas di muka.</t>
        </is>
      </c>
    </row>
    <row r="10">
      <c r="A10" s="9" t="inlineStr">
        <is>
          <t>Potongan dan pajak</t>
        </is>
      </c>
      <c r="B10" s="10" t="n"/>
      <c r="C10" s="10" t="n"/>
      <c r="D10" s="10" t="n"/>
      <c r="E10" s="10" t="n"/>
    </row>
    <row r="11">
      <c r="A11" s="11" t="inlineStr">
        <is>
          <t>Tarif PPN efektif</t>
        </is>
      </c>
      <c r="B11" s="14" t="n">
        <v>0.11</v>
      </c>
      <c r="E11" s="2" t="inlineStr">
        <is>
          <t>11% (pajak Rp1.375 atas harga jual Rp12.500 di pesanan nyata). Konfirmasi status ke konsultan pajak.</t>
        </is>
      </c>
    </row>
    <row r="12">
      <c r="A12" s="11" t="inlineStr">
        <is>
          <t>Harga Play sudah termasuk PPN? (1 = ya, 0 = belum; PPN ditambahkan di atas harga)</t>
        </is>
      </c>
      <c r="B12" s="15" t="n">
        <v>0</v>
      </c>
      <c r="E12" s="2" t="inlineStr">
        <is>
          <t>TERVERIFIKASI 2026-10-09 dari pesanan Play GPA.3304-9982-3764-47106: harga jual Rp12.500 + pajak Rp1.375 = total Rp13.875; estimasi pendapatan USD 0,59 = Rp12.500 x 85% / Rp17.930. Pelanggan membayar PPN di atas harga; Google memungut dan menyetornya.</t>
        </is>
      </c>
    </row>
    <row r="13">
      <c r="A13" s="11" t="inlineStr">
        <is>
          <t>Biaya layanan Google untuk langganan</t>
        </is>
      </c>
      <c r="B13" s="14" t="n">
        <v>0.15</v>
      </c>
      <c r="E13" s="2" t="inlineStr">
        <is>
          <t>15% sejak hari pertama untuk langganan (kebijakan Play).</t>
        </is>
      </c>
    </row>
    <row r="14">
      <c r="A14" s="11" t="inlineStr">
        <is>
          <t>PPh final UMKM atas omzet</t>
        </is>
      </c>
      <c r="B14" s="14" t="n">
        <v>0.005</v>
      </c>
      <c r="E14" s="2" t="inlineStr">
        <is>
          <t>PP 55/2022, 0,5% dari omzet bruto.</t>
        </is>
      </c>
    </row>
    <row r="15">
      <c r="A15" s="11" t="inlineStr">
        <is>
          <t>Skema PPh (1 = orang pribadi, bebas pajak s/d batas; 2 = PT/CV, tanpa batas)</t>
        </is>
      </c>
      <c r="B15" s="15" t="n">
        <v>2</v>
      </c>
      <c r="E15" s="2" t="inlineStr">
        <is>
          <t>Default 2 (lebih berat) supaya konservatif. Ganti sesuai status Anda.</t>
        </is>
      </c>
    </row>
    <row r="16">
      <c r="A16" s="11" t="inlineStr">
        <is>
          <t>Batas omzet bebas PPh orang pribadi (Rp/tahun)</t>
        </is>
      </c>
      <c r="B16" s="16" t="n">
        <v>500000000</v>
      </c>
      <c r="E16" s="2" t="inlineStr">
        <is>
          <t>PP 55/2022; hanya dipakai bila skema = 1.</t>
        </is>
      </c>
    </row>
    <row r="18">
      <c r="A18" s="9" t="inlineStr">
        <is>
          <t>Biaya AI (Gemini via Cloudflare Worker)</t>
        </is>
      </c>
      <c r="B18" s="10" t="n"/>
      <c r="C18" s="10" t="n"/>
      <c r="D18" s="10" t="n"/>
      <c r="E18" s="10" t="n"/>
    </row>
    <row r="19">
      <c r="A19" s="11" t="inlineStr">
        <is>
          <t>Biaya per scan struk (Rp)</t>
        </is>
      </c>
      <c r="B19" s="17" t="n">
        <v>4.6</v>
      </c>
      <c r="E19" s="2" t="inlineStr">
        <is>
          <t>TERUKUR 2026-10-01 (lima scan, model gemini-3.1-flash-lite).</t>
        </is>
      </c>
    </row>
    <row r="20">
      <c r="A20" s="11" t="inlineStr">
        <is>
          <t>Biaya per ringkasan Laporan Bulanan AI (Rp)</t>
        </is>
      </c>
      <c r="B20" s="17" t="n">
        <v>30</v>
      </c>
      <c r="E20" s="2" t="inlineStr">
        <is>
          <t>PERKIRAAN, belum terukur. Ukur dari log `ai_usage kind=report`.</t>
        </is>
      </c>
    </row>
    <row r="21">
      <c r="A21" s="11" t="inlineStr">
        <is>
          <t>Scan per pelanggan Ultimate per bulan (tipikal)</t>
        </is>
      </c>
      <c r="B21" s="16" t="n">
        <v>30</v>
      </c>
      <c r="E21" s="2" t="inlineStr">
        <is>
          <t>ASUMSI.</t>
        </is>
      </c>
    </row>
    <row r="22">
      <c r="A22" s="11" t="inlineStr">
        <is>
          <t>Ringkasan per pelanggan Ultimate per bulan (tipikal)</t>
        </is>
      </c>
      <c r="B22" s="16" t="n">
        <v>4</v>
      </c>
      <c r="E22" s="2" t="inlineStr">
        <is>
          <t>ASUMSI (satu per minggu).</t>
        </is>
      </c>
    </row>
    <row r="23">
      <c r="A23" s="11" t="inlineStr">
        <is>
          <t>Kuota scan maksimum per bulan</t>
        </is>
      </c>
      <c r="B23" s="16" t="n">
        <v>300</v>
      </c>
      <c r="E23" s="2" t="inlineStr">
        <is>
          <t>Batas Worker (MONTHLY_LIMIT).</t>
        </is>
      </c>
    </row>
    <row r="24">
      <c r="A24" s="11" t="inlineStr">
        <is>
          <t>Kuota ringkasan maksimum per bulan</t>
        </is>
      </c>
      <c r="B24" s="16" t="n">
        <v>30</v>
      </c>
      <c r="E24" s="2" t="inlineStr">
        <is>
          <t>Batas Worker (REPORT_MONTHLY_LIMIT).</t>
        </is>
      </c>
    </row>
    <row r="25">
      <c r="A25" s="11" t="inlineStr">
        <is>
          <t>Kurs (Rp per USD)</t>
        </is>
      </c>
      <c r="B25" s="16" t="n">
        <v>17930</v>
      </c>
      <c r="E25" s="2" t="inlineStr">
        <is>
          <t>Kurs yang dipakai di analisis biaya AI.</t>
        </is>
      </c>
    </row>
    <row r="27">
      <c r="A27" s="9" t="inlineStr">
        <is>
          <t>Iklan AdMob (kepercayaan RENDAH; akun belum disetujui)</t>
        </is>
      </c>
      <c r="B27" s="10" t="n"/>
      <c r="C27" s="10" t="n"/>
      <c r="D27" s="10" t="n"/>
      <c r="E27" s="10" t="n"/>
    </row>
    <row r="28">
      <c r="A28" s="11" t="inlineStr">
        <is>
          <t>eCPM banner (USD per 1.000 tayangan)</t>
        </is>
      </c>
      <c r="B28" s="18" t="n">
        <v>0.15</v>
      </c>
      <c r="E28" s="2" t="inlineStr">
        <is>
          <t>PERKIRAAN untuk Indonesia ($0,10-0,30). Ganti dengan data AdMob nyata.</t>
        </is>
      </c>
    </row>
    <row r="29">
      <c r="A29" s="11" t="inlineStr">
        <is>
          <t>Tayangan per pengguna gratis aktif per bulan</t>
        </is>
      </c>
      <c r="B29" s="16" t="n">
        <v>200</v>
      </c>
      <c r="E29" s="2" t="inlineStr">
        <is>
          <t>PERKIRAAN (~40% aktif harian, ~15 tayangan/hari).</t>
        </is>
      </c>
    </row>
    <row r="31">
      <c r="A31" s="9" t="inlineStr">
        <is>
          <t>Biaya lain</t>
        </is>
      </c>
      <c r="B31" s="10" t="n"/>
      <c r="C31" s="10" t="n"/>
      <c r="D31" s="10" t="n"/>
      <c r="E31" s="10" t="n"/>
    </row>
    <row r="32">
      <c r="A32" s="11" t="inlineStr">
        <is>
          <t>Batas gratis RevenueCat (USD pendapatan terlacak/bulan)</t>
        </is>
      </c>
      <c r="B32" s="16" t="n">
        <v>2500</v>
      </c>
      <c r="E32" s="2" t="inlineStr">
        <is>
          <t>Di atasnya RevenueCat memungut persen di bawah.</t>
        </is>
      </c>
    </row>
    <row r="33">
      <c r="A33" s="11" t="inlineStr">
        <is>
          <t>Persen RevenueCat di atas batas</t>
        </is>
      </c>
      <c r="B33" s="14" t="n">
        <v>0.01</v>
      </c>
      <c r="E33" s="2" t="inlineStr">
        <is>
          <t>1% dari pendapatan terlacak di atas batas.</t>
        </is>
      </c>
    </row>
    <row r="34">
      <c r="A34" s="11" t="inlineStr">
        <is>
          <t>Biaya tetap lain per bulan (Rp)</t>
        </is>
      </c>
      <c r="B34" s="16" t="n">
        <v>0</v>
      </c>
      <c r="E34" s="2" t="inlineStr">
        <is>
          <t>Mis. Cloudflare Workers berbayar ($5 = ~Rp90.000), domain, dsb. Isi bila ada.</t>
        </is>
      </c>
    </row>
    <row r="36">
      <c r="A36" s="9" t="inlineStr">
        <is>
          <t>Skenario (bulan ke-12, kondisi stabil)</t>
        </is>
      </c>
      <c r="B36" s="10" t="n"/>
      <c r="C36" s="10" t="n"/>
      <c r="D36" s="10" t="n"/>
      <c r="E36" s="10" t="n"/>
    </row>
    <row r="37">
      <c r="A37" s="19" t="inlineStr">
        <is>
          <t>Parameter</t>
        </is>
      </c>
      <c r="B37" s="20" t="inlineStr">
        <is>
          <t>Konservatif</t>
        </is>
      </c>
      <c r="C37" s="20" t="inlineStr">
        <is>
          <t>Moderat</t>
        </is>
      </c>
      <c r="D37" s="20" t="inlineStr">
        <is>
          <t>Optimis</t>
        </is>
      </c>
    </row>
    <row r="38">
      <c r="A38" s="11" t="inlineStr">
        <is>
          <t>Pengguna aktif bulanan (MAU)</t>
        </is>
      </c>
      <c r="B38" s="12" t="n">
        <v>1000</v>
      </c>
      <c r="C38" s="12" t="n">
        <v>5000</v>
      </c>
      <c r="D38" s="12" t="n">
        <v>20000</v>
      </c>
      <c r="E38" s="2" t="inlineStr">
        <is>
          <t>TEBAKAN untuk aplikasi keuangan pribadi di Indonesia; ganti dengan data nyata.</t>
        </is>
      </c>
    </row>
    <row r="39">
      <c r="A39" s="11" t="inlineStr">
        <is>
          <t>Konversi ke berbayar (dari MAU)</t>
        </is>
      </c>
      <c r="B39" s="13" t="n">
        <v>0.015</v>
      </c>
      <c r="C39" s="13" t="n">
        <v>0.025</v>
      </c>
      <c r="D39" s="13" t="n">
        <v>0.03</v>
      </c>
      <c r="E39" s="2" t="inlineStr">
        <is>
          <t>Umumnya 1-3% dari pengguna aktif membayar; sangat bergantung kualitas produk dan pemasaran.</t>
        </is>
      </c>
    </row>
    <row r="40">
      <c r="A40" s="11" t="inlineStr">
        <is>
          <t>Porsi Ultimate dari pelanggan berbayar</t>
        </is>
      </c>
      <c r="B40" s="13" t="n">
        <v>0.2</v>
      </c>
      <c r="C40" s="13" t="n">
        <v>0.25</v>
      </c>
      <c r="D40" s="13" t="n">
        <v>0.3</v>
      </c>
    </row>
    <row r="41">
      <c r="A41" s="11" t="inlineStr">
        <is>
          <t>Faktor tahun pertama (rata-rata pelanggan / akhir tahun)</t>
        </is>
      </c>
      <c r="B41" s="13" t="n">
        <v>0.5</v>
      </c>
      <c r="C41" s="13" t="n">
        <v>0.5</v>
      </c>
      <c r="D41" s="13" t="n">
        <v>0.5</v>
      </c>
      <c r="E41" s="2" t="inlineStr">
        <is>
          <t>0,5 = pelanggan tumbuh linear sehingga rata-rata setahun separuh dari jumlah akhir.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2" customWidth="1" min="1" max="1"/>
    <col width="18" customWidth="1" min="2" max="2"/>
    <col width="22" customWidth="1" min="3" max="3"/>
    <col width="24" customWidth="1" min="4" max="4"/>
    <col width="60" customWidth="1" min="5" max="5"/>
  </cols>
  <sheetData>
    <row r="1">
      <c r="A1" s="1" t="inlineStr">
        <is>
          <t>Per pelanggan per bulan</t>
        </is>
      </c>
    </row>
    <row r="2">
      <c r="A2" s="2" t="inlineStr">
        <is>
          <t>Dari harga jual sampai net yang Anda terima. PPN dibayar pelanggan di atas harga (baris informasi di bawah). Semua dihitung dari sheet Asumsi.</t>
        </is>
      </c>
    </row>
    <row r="3">
      <c r="A3" s="19" t="inlineStr"/>
      <c r="B3" s="20" t="inlineStr">
        <is>
          <t>Premium</t>
        </is>
      </c>
      <c r="C3" s="20" t="inlineStr">
        <is>
          <t>Ultimate (AI tipikal)</t>
        </is>
      </c>
      <c r="D3" s="20" t="inlineStr">
        <is>
          <t>Ultimate (kuota AI penuh)</t>
        </is>
      </c>
    </row>
    <row r="4">
      <c r="A4" s="11" t="inlineStr">
        <is>
          <t>Harga jual efektif per bulan (campuran bulanan/tahunan, tanpa PPN)</t>
        </is>
      </c>
      <c r="B4" s="21">
        <f>Asumsi!$B$8*Asumsi!$B$4+(1-Asumsi!$B$8)*Asumsi!$B$5/12</f>
        <v>7000.0</v>
      </c>
      <c r="C4" s="21">
        <f>Asumsi!$B$8*Asumsi!$B$6+(1-Asumsi!$B$8)*Asumsi!$B$7/12</f>
        <v>11666.666666666668</v>
      </c>
      <c r="D4" s="21">
        <f>Asumsi!$B$8*Asumsi!$B$6+(1-Asumsi!$B$8)*Asumsi!$B$7/12</f>
        <v>11666.666666666668</v>
      </c>
    </row>
    <row r="5">
      <c r="A5" s="11" t="inlineStr">
        <is>
          <t>PPN yang dipotong dari harga (0 bila PPN di atas harga)</t>
        </is>
      </c>
      <c r="B5" s="21">
        <f>IF(Asumsi!$B$12=1,B4-B4/(1+Asumsi!$B$11),0)</f>
        <v>0</v>
      </c>
      <c r="C5" s="21">
        <f>IF(Asumsi!$B$12=1,C4-C4/(1+Asumsi!$B$11),0)</f>
        <v>0</v>
      </c>
      <c r="D5" s="21">
        <f>IF(Asumsi!$B$12=1,D4-D4/(1+Asumsi!$B$11),0)</f>
        <v>0</v>
      </c>
      <c r="E5" s="2" t="inlineStr">
        <is>
          <t>Bernilai 0 karena 'Harga Play sudah termasuk PPN' = 0: PPN ditambahkan di atas harga, bukan dipotong dari pendapatan Anda.</t>
        </is>
      </c>
    </row>
    <row r="6">
      <c r="A6" s="11" t="inlineStr">
        <is>
          <t>Dasar biaya Google (harga jual)</t>
        </is>
      </c>
      <c r="B6" s="21">
        <f>B4-B5</f>
        <v>7000.0</v>
      </c>
      <c r="C6" s="21">
        <f>C4-C5</f>
        <v>11666.666666666668</v>
      </c>
      <c r="D6" s="21">
        <f>D4-D5</f>
        <v>11666.666666666668</v>
      </c>
    </row>
    <row r="7">
      <c r="A7" s="11" t="inlineStr">
        <is>
          <t>Biaya layanan Google</t>
        </is>
      </c>
      <c r="B7" s="21">
        <f>B6*Asumsi!$B$13</f>
        <v>1050.0</v>
      </c>
      <c r="C7" s="21">
        <f>C6*Asumsi!$B$13</f>
        <v>1750.0000000000002</v>
      </c>
      <c r="D7" s="21">
        <f>D6*Asumsi!$B$13</f>
        <v>1750.0000000000002</v>
      </c>
    </row>
    <row r="8">
      <c r="A8" s="11" t="inlineStr">
        <is>
          <t>Biaya AI</t>
        </is>
      </c>
      <c r="B8" s="21" t="n">
        <v>0</v>
      </c>
      <c r="C8" s="21">
        <f>Asumsi!$B$19*Asumsi!$B$21+Asumsi!$B$20*Asumsi!$B$22</f>
        <v>258.0</v>
      </c>
      <c r="D8" s="21">
        <f>Asumsi!$B$19*Asumsi!$B$23+Asumsi!$B$20*Asumsi!$B$24</f>
        <v>2280.0</v>
      </c>
      <c r="E8" s="2" t="inlineStr">
        <is>
          <t>Premium tidak memakai AI di server. Suara dan Excel diproses di HP (tanpa biaya).</t>
        </is>
      </c>
    </row>
    <row r="9">
      <c r="A9" s="22" t="inlineStr">
        <is>
          <t>Net sebelum PPh</t>
        </is>
      </c>
      <c r="B9" s="23">
        <f>B6-B7-B8</f>
        <v>5950.0</v>
      </c>
      <c r="C9" s="23">
        <f>C6-C7-C8</f>
        <v>9658.666666666668</v>
      </c>
      <c r="D9" s="23">
        <f>D6-D7-D8</f>
        <v>7636.666666666668</v>
      </c>
      <c r="E9" s="2" t="inlineStr">
        <is>
          <t>Sebelum PPh, RevenueCat, dan biaya tetap.</t>
        </is>
      </c>
    </row>
    <row r="10">
      <c r="A10" s="11" t="inlineStr">
        <is>
          <t>Net sebagai persen dari harga jual</t>
        </is>
      </c>
      <c r="B10" s="24">
        <f>IF(B4=0,0,B9/B4)</f>
        <v>0.85</v>
      </c>
      <c r="C10" s="24">
        <f>IF(C4=0,0,C9/C4)</f>
        <v>0.8278857142857143</v>
      </c>
      <c r="D10" s="24">
        <f>IF(D4=0,0,D9/D4)</f>
        <v>0.6545714285714286</v>
      </c>
    </row>
    <row r="11">
      <c r="A11" s="11" t="inlineStr">
        <is>
          <t>PPh final (skema PT/CV, per pelanggan, dari harga jual)</t>
        </is>
      </c>
      <c r="B11" s="21">
        <f>B6*Asumsi!$B$14</f>
        <v>35.0</v>
      </c>
      <c r="C11" s="21">
        <f>C6*Asumsi!$B$14</f>
        <v>58.33333333333334</v>
      </c>
      <c r="D11" s="21">
        <f>D6*Asumsi!$B$14</f>
        <v>58.33333333333334</v>
      </c>
    </row>
    <row r="12">
      <c r="A12" s="22" t="inlineStr">
        <is>
          <t>Net setelah PPh PT/CV</t>
        </is>
      </c>
      <c r="B12" s="23">
        <f>B9-B11</f>
        <v>5915.0</v>
      </c>
      <c r="C12" s="23">
        <f>C9-C11</f>
        <v>9600.333333333334</v>
      </c>
      <c r="D12" s="23">
        <f>D9-D11</f>
        <v>7578.333333333335</v>
      </c>
    </row>
    <row r="14">
      <c r="A14" s="11" t="inlineStr">
        <is>
          <t>Informasi: PPN yang ditambahkan Google di atas harga (dibayar pelanggan)</t>
        </is>
      </c>
      <c r="B14" s="21">
        <f>IF(Asumsi!$B$12=1,0,B4*Asumsi!$B$11)</f>
        <v>770.0</v>
      </c>
      <c r="C14" s="21">
        <f>IF(Asumsi!$B$12=1,0,C4*Asumsi!$B$11)</f>
        <v>1283.3333333333335</v>
      </c>
      <c r="D14" s="21">
        <f>IF(Asumsi!$B$12=1,0,D4*Asumsi!$B$11)</f>
        <v>1283.3333333333335</v>
      </c>
      <c r="E14" t="inlineStr">
        <is>
          <t>Bukan beban atau pendapatan Anda: Google yang memungut dan menyetor PPN.</t>
        </is>
      </c>
    </row>
    <row r="15">
      <c r="A15" s="11" t="inlineStr">
        <is>
          <t>Informasi: total yang dibayar pelanggan per bulan (harga + PPN)</t>
        </is>
      </c>
      <c r="B15" s="21">
        <f>B4+B14</f>
        <v>7770.0</v>
      </c>
      <c r="C15" s="21">
        <f>C4+C14</f>
        <v>12950.000000000002</v>
      </c>
      <c r="D15" s="21">
        <f>D4+D14</f>
        <v>12950.000000000002</v>
      </c>
    </row>
    <row r="16">
      <c r="A16" s="11" t="inlineStr">
        <is>
          <t>Informasi: net sebagai persen dari total yang dibayar pelanggan</t>
        </is>
      </c>
      <c r="B16" s="24">
        <f>IF(B15=0,0,B9/B15)</f>
        <v>0.7657657657657657</v>
      </c>
      <c r="C16" s="24">
        <f>IF(C15=0,0,C9/C15)</f>
        <v>0.7458429858429858</v>
      </c>
      <c r="D16" s="24">
        <f>IF(D15=0,0,D9/D15)</f>
        <v>0.5897039897039897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20" customWidth="1" min="4" max="4"/>
    <col width="64" customWidth="1" min="5" max="5"/>
  </cols>
  <sheetData>
    <row r="1">
      <c r="A1" s="1" t="inlineStr">
        <is>
          <t>Skenario bulan ke-12 (kondisi stabil)</t>
        </is>
      </c>
    </row>
    <row r="2">
      <c r="A2" s="2" t="inlineStr">
        <is>
          <t>Ubah asumsi di sheet Asumsi. Net per tahun = kecepatan penuh; tahun pertama memakai faktor kenaikan bertahap.</t>
        </is>
      </c>
    </row>
    <row r="3">
      <c r="A3" s="19" t="inlineStr"/>
      <c r="B3" s="20" t="inlineStr">
        <is>
          <t>Konservatif</t>
        </is>
      </c>
      <c r="C3" s="20" t="inlineStr">
        <is>
          <t>Moderat</t>
        </is>
      </c>
      <c r="D3" s="20" t="inlineStr">
        <is>
          <t>Optimis</t>
        </is>
      </c>
    </row>
    <row r="4">
      <c r="A4" s="11" t="inlineStr">
        <is>
          <t>Pengguna aktif bulanan (MAU)</t>
        </is>
      </c>
      <c r="B4" s="25">
        <f>Asumsi!B38</f>
        <v>1000</v>
      </c>
      <c r="C4" s="25">
        <f>Asumsi!C38</f>
        <v>5000</v>
      </c>
      <c r="D4" s="25">
        <f>Asumsi!D38</f>
        <v>20000</v>
      </c>
    </row>
    <row r="5">
      <c r="A5" s="11" t="inlineStr">
        <is>
          <t>Konversi ke berbayar</t>
        </is>
      </c>
      <c r="B5" s="26">
        <f>Asumsi!B39</f>
        <v>0.015</v>
      </c>
      <c r="C5" s="26">
        <f>Asumsi!C39</f>
        <v>0.025</v>
      </c>
      <c r="D5" s="26">
        <f>Asumsi!D39</f>
        <v>0.03</v>
      </c>
    </row>
    <row r="6">
      <c r="A6" s="11" t="inlineStr">
        <is>
          <t>Pelanggan berbayar</t>
        </is>
      </c>
      <c r="B6" s="21">
        <f>ROUND(B4*B5,0)</f>
        <v>15.0</v>
      </c>
      <c r="C6" s="21">
        <f>ROUND(C4*C5,0)</f>
        <v>125.0</v>
      </c>
      <c r="D6" s="21">
        <f>ROUND(D4*D5,0)</f>
        <v>600.0</v>
      </c>
    </row>
    <row r="7">
      <c r="A7" s="11" t="inlineStr">
        <is>
          <t xml:space="preserve">  Ultimate</t>
        </is>
      </c>
      <c r="B7" s="21">
        <f>ROUND(B6*Asumsi!B40,0)</f>
        <v>3.0</v>
      </c>
      <c r="C7" s="21">
        <f>ROUND(C6*Asumsi!C40,0)</f>
        <v>31.0</v>
      </c>
      <c r="D7" s="21">
        <f>ROUND(D6*Asumsi!D40,0)</f>
        <v>180.0</v>
      </c>
    </row>
    <row r="8">
      <c r="A8" s="11" t="inlineStr">
        <is>
          <t xml:space="preserve">  Premium</t>
        </is>
      </c>
      <c r="B8" s="21">
        <f>B6-B7</f>
        <v>12.0</v>
      </c>
      <c r="C8" s="21">
        <f>C6-C7</f>
        <v>94.0</v>
      </c>
      <c r="D8" s="21">
        <f>D6-D7</f>
        <v>420.0</v>
      </c>
    </row>
    <row r="9">
      <c r="A9" s="22" t="inlineStr">
        <is>
          <t>Uang masuk dan potongan</t>
        </is>
      </c>
    </row>
    <row r="10">
      <c r="A10" s="11" t="inlineStr">
        <is>
          <t>Uang masuk dari pelanggan per bulan (harga jual, tanpa PPN)</t>
        </is>
      </c>
      <c r="B10" s="21">
        <f>B8*Per_Pelanggan!$B$4+B7*Per_Pelanggan!$C$4</f>
        <v>119000.0</v>
      </c>
      <c r="C10" s="21">
        <f>C8*Per_Pelanggan!$B$4+C7*Per_Pelanggan!$C$4</f>
        <v>1019666.6666666667</v>
      </c>
      <c r="D10" s="21">
        <f>D8*Per_Pelanggan!$B$4+D7*Per_Pelanggan!$C$4</f>
        <v>5040000.0</v>
      </c>
    </row>
    <row r="11">
      <c r="A11" s="11" t="inlineStr">
        <is>
          <t>PPN yang dipotong dari harga (0 bila PPN di atas harga)</t>
        </is>
      </c>
      <c r="B11" s="21">
        <f>B8*Per_Pelanggan!$B$5+B7*Per_Pelanggan!$C$5</f>
        <v>0.0</v>
      </c>
      <c r="C11" s="21">
        <f>C8*Per_Pelanggan!$B$5+C7*Per_Pelanggan!$C$5</f>
        <v>0.0</v>
      </c>
      <c r="D11" s="21">
        <f>D8*Per_Pelanggan!$B$5+D7*Per_Pelanggan!$C$5</f>
        <v>0.0</v>
      </c>
    </row>
    <row r="12">
      <c r="A12" s="11" t="inlineStr">
        <is>
          <t>Dasar biaya Google (harga jual)</t>
        </is>
      </c>
      <c r="B12" s="21">
        <f>B10-B11</f>
        <v>119000.0</v>
      </c>
      <c r="C12" s="21">
        <f>C10-C11</f>
        <v>1019666.6666666667</v>
      </c>
      <c r="D12" s="21">
        <f>D10-D11</f>
        <v>5040000.0</v>
      </c>
    </row>
    <row r="13">
      <c r="A13" s="11" t="inlineStr">
        <is>
          <t>Biaya layanan Google</t>
        </is>
      </c>
      <c r="B13" s="21">
        <f>B12*Asumsi!$B$13</f>
        <v>17850.0</v>
      </c>
      <c r="C13" s="21">
        <f>C12*Asumsi!$B$13</f>
        <v>152950.0</v>
      </c>
      <c r="D13" s="21">
        <f>D12*Asumsi!$B$13</f>
        <v>756000.0</v>
      </c>
    </row>
    <row r="14">
      <c r="A14" s="11" t="inlineStr">
        <is>
          <t>Biaya AI (pemakaian tipikal)</t>
        </is>
      </c>
      <c r="B14" s="21">
        <f>B7*Per_Pelanggan!$C$8</f>
        <v>774.0</v>
      </c>
      <c r="C14" s="21">
        <f>C7*Per_Pelanggan!$C$8</f>
        <v>7998.0</v>
      </c>
      <c r="D14" s="21">
        <f>D7*Per_Pelanggan!$C$8</f>
        <v>46440.0</v>
      </c>
    </row>
    <row r="15">
      <c r="A15" s="11" t="inlineStr">
        <is>
          <t>RevenueCat (di atas batas gratis)</t>
        </is>
      </c>
      <c r="B15" s="21">
        <f>MAX(0,B12/Asumsi!$B$25-Asumsi!$B$32)*Asumsi!$B$33*Asumsi!$B$25</f>
        <v>0.0</v>
      </c>
      <c r="C15" s="21">
        <f>MAX(0,C12/Asumsi!$B$25-Asumsi!$B$32)*Asumsi!$B$33*Asumsi!$B$25</f>
        <v>0.0</v>
      </c>
      <c r="D15" s="21">
        <f>MAX(0,D12/Asumsi!$B$25-Asumsi!$B$32)*Asumsi!$B$33*Asumsi!$B$25</f>
        <v>0.0</v>
      </c>
    </row>
    <row r="16">
      <c r="A16" s="11" t="inlineStr">
        <is>
          <t>Biaya tetap lain</t>
        </is>
      </c>
      <c r="B16" s="21">
        <f>Asumsi!$B$34</f>
        <v>0</v>
      </c>
      <c r="C16" s="21">
        <f>Asumsi!$B$34</f>
        <v>0</v>
      </c>
      <c r="D16" s="21">
        <f>Asumsi!$B$34</f>
        <v>0</v>
      </c>
    </row>
    <row r="17">
      <c r="A17" s="22" t="inlineStr">
        <is>
          <t>Net sebelum PPh per bulan</t>
        </is>
      </c>
      <c r="B17" s="23">
        <f>B12-B13-B14-B15-B16</f>
        <v>100376.0</v>
      </c>
      <c r="C17" s="23">
        <f>C12-C13-C14-C15-C16</f>
        <v>858718.6666666667</v>
      </c>
      <c r="D17" s="23">
        <f>D12-D13-D14-D15-D16</f>
        <v>4237560.0</v>
      </c>
    </row>
    <row r="18">
      <c r="A18" s="11" t="inlineStr">
        <is>
          <t>PPh final per bulan (rata-rata)</t>
        </is>
      </c>
      <c r="B18" s="21">
        <f>IF(Asumsi!$B$15=1,MAX(0,B12*12-Asumsi!$B$16)*Asumsi!$B$14/12,B12*Asumsi!$B$14)</f>
        <v>595.0</v>
      </c>
      <c r="C18" s="21">
        <f>IF(Asumsi!$B$15=1,MAX(0,C12*12-Asumsi!$B$16)*Asumsi!$B$14/12,C12*Asumsi!$B$14)</f>
        <v>5098.333333333334</v>
      </c>
      <c r="D18" s="21">
        <f>IF(Asumsi!$B$15=1,MAX(0,D12*12-Asumsi!$B$16)*Asumsi!$B$14/12,D12*Asumsi!$B$14)</f>
        <v>25200.0</v>
      </c>
      <c r="E18" s="2" t="inlineStr">
        <is>
          <t>Skema 1 (orang pribadi): hanya omzet di atas batas yang dikenai pajak. Skema 2: semua omzet.</t>
        </is>
      </c>
    </row>
    <row r="19">
      <c r="A19" s="22" t="inlineStr">
        <is>
          <t>Net bersih per bulan</t>
        </is>
      </c>
      <c r="B19" s="23">
        <f>B17-B18</f>
        <v>99781.0</v>
      </c>
      <c r="C19" s="23">
        <f>C17-C18</f>
        <v>853620.3333333334</v>
      </c>
      <c r="D19" s="23">
        <f>D17-D18</f>
        <v>4212360.0</v>
      </c>
    </row>
    <row r="20">
      <c r="A20" s="22" t="inlineStr">
        <is>
          <t>Net bersih per tahun (kecepatan penuh)</t>
        </is>
      </c>
      <c r="B20" s="23">
        <f>B19*12</f>
        <v>1197372.0</v>
      </c>
      <c r="C20" s="23">
        <f>C19*12</f>
        <v>10243444.0</v>
      </c>
      <c r="D20" s="23">
        <f>D19*12</f>
        <v>50548320.0</v>
      </c>
    </row>
    <row r="21">
      <c r="A21" s="11" t="inlineStr">
        <is>
          <t>Net bersih tahun pertama (pelanggan naik bertahap, kira-kira)</t>
        </is>
      </c>
      <c r="B21" s="21">
        <f>B20*Asumsi!B41</f>
        <v>598686.0</v>
      </c>
      <c r="C21" s="21">
        <f>C20*Asumsi!C41</f>
        <v>5121722.0</v>
      </c>
      <c r="D21" s="21">
        <f>D20*Asumsi!D41</f>
        <v>25274160.0</v>
      </c>
      <c r="E21" s="2" t="inlineStr">
        <is>
          <t>Perkiraan kasar: net tahunan x faktor tahun pertama (pajak tidak dihitung ulang).</t>
        </is>
      </c>
    </row>
    <row r="22">
      <c r="A22" s="11" t="inlineStr">
        <is>
          <t>Net bersih sebagai persen dari harga jual</t>
        </is>
      </c>
      <c r="B22" s="24">
        <f>IF(B10=0,0,B19/B10)</f>
        <v>0.8384957983193277</v>
      </c>
      <c r="C22" s="24">
        <f>IF(C10=0,0,C19/C10)</f>
        <v>0.8371562602157567</v>
      </c>
      <c r="D22" s="24">
        <f>IF(D10=0,0,D19/D10)</f>
        <v>0.8357857142857142</v>
      </c>
    </row>
    <row r="23">
      <c r="A23" s="22" t="inlineStr">
        <is>
          <t>Kasus terburuk untuk biaya AI</t>
        </is>
      </c>
    </row>
    <row r="24">
      <c r="A24" s="11" t="inlineStr">
        <is>
          <t>Biaya AI bila semua pelanggan Ultimate memakai kuota penuh</t>
        </is>
      </c>
      <c r="B24" s="21">
        <f>B7*Per_Pelanggan!$D$8</f>
        <v>6840.0</v>
      </c>
      <c r="C24" s="21">
        <f>C7*Per_Pelanggan!$D$8</f>
        <v>70680.0</v>
      </c>
      <c r="D24" s="21">
        <f>D7*Per_Pelanggan!$D$8</f>
        <v>410400.0</v>
      </c>
    </row>
    <row r="25">
      <c r="A25" s="11" t="inlineStr">
        <is>
          <t>Net sebelum PPh dalam kasus kuota penuh</t>
        </is>
      </c>
      <c r="B25" s="21">
        <f>B12-B13-B24-B15-B16</f>
        <v>94310.0</v>
      </c>
      <c r="C25" s="21">
        <f>C12-C13-C24-C15-C16</f>
        <v>796036.6666666667</v>
      </c>
      <c r="D25" s="21">
        <f>D12-D13-D24-D15-D16</f>
        <v>3873600.0</v>
      </c>
    </row>
    <row r="26">
      <c r="A26" s="22" t="inlineStr">
        <is>
          <t>Iklan (kepercayaan rendah; akun AdMob belum disetujui)</t>
        </is>
      </c>
    </row>
    <row r="27">
      <c r="A27" s="11" t="inlineStr">
        <is>
          <t>Pengguna gratis</t>
        </is>
      </c>
      <c r="B27" s="21">
        <f>B4-B6</f>
        <v>985.0</v>
      </c>
      <c r="C27" s="21">
        <f>C4-C6</f>
        <v>4875.0</v>
      </c>
      <c r="D27" s="21">
        <f>D4-D6</f>
        <v>19400.0</v>
      </c>
    </row>
    <row r="28">
      <c r="A28" s="11" t="inlineStr">
        <is>
          <t>Pendapatan iklan per pengguna gratis per bulan (Rp)</t>
        </is>
      </c>
      <c r="B28" s="21">
        <f>Asumsi!$B$29/1000*Asumsi!$B$28*Asumsi!$B$25</f>
        <v>537.9</v>
      </c>
      <c r="C28" s="21">
        <f>Asumsi!$B$29/1000*Asumsi!$B$28*Asumsi!$B$25</f>
        <v>537.9</v>
      </c>
      <c r="D28" s="21">
        <f>Asumsi!$B$29/1000*Asumsi!$B$28*Asumsi!$B$25</f>
        <v>537.9</v>
      </c>
    </row>
    <row r="29">
      <c r="A29" s="11" t="inlineStr">
        <is>
          <t>Pendapatan iklan AdMob per bulan (kasar, sebelum PPh)</t>
        </is>
      </c>
      <c r="B29" s="21">
        <f>B27*B28</f>
        <v>529831.5</v>
      </c>
      <c r="C29" s="21">
        <f>C27*C28</f>
        <v>2622262.5</v>
      </c>
      <c r="D29" s="21">
        <f>D27*D28</f>
        <v>10435260.0</v>
      </c>
      <c r="E29" s="2" t="inlineStr">
        <is>
          <t>Bergantung eCPM dan tayangan di Asumsi; bagi hasil AdMob sudah termasuk di eCPM.</t>
        </is>
      </c>
    </row>
    <row r="30">
      <c r="A30" s="11" t="inlineStr">
        <is>
          <t>Total net per bulan termasuk iklan (kasar)</t>
        </is>
      </c>
      <c r="B30" s="21">
        <f>B19+B29</f>
        <v>629612.5</v>
      </c>
      <c r="C30" s="21">
        <f>C19+C29</f>
        <v>3475882.8333333335</v>
      </c>
      <c r="D30" s="21">
        <f>D19+D29</f>
        <v>14647620.0</v>
      </c>
    </row>
    <row r="32">
      <c r="A32" s="11" t="inlineStr">
        <is>
          <t>Informasi: PPN yang ditambahkan Google di atas harga per bulan</t>
        </is>
      </c>
      <c r="B32" s="21">
        <f>IF(Asumsi!$B$12=1,0,B10*Asumsi!$B$11)</f>
        <v>13090.0</v>
      </c>
      <c r="C32" s="21">
        <f>IF(Asumsi!$B$12=1,0,C10*Asumsi!$B$11)</f>
        <v>112163.33333333334</v>
      </c>
      <c r="D32" s="21">
        <f>IF(Asumsi!$B$12=1,0,D10*Asumsi!$B$11)</f>
        <v>554400.0</v>
      </c>
      <c r="E32" t="inlineStr">
        <is>
          <t>Bukan beban Anda; dipungut dan disetor Google.</t>
        </is>
      </c>
    </row>
    <row r="33">
      <c r="A33" s="11" t="inlineStr">
        <is>
          <t>Informasi: total yang dibayar semua pelanggan per bulan (harga + PPN)</t>
        </is>
      </c>
      <c r="B33" s="21">
        <f>B10+B32</f>
        <v>132090.0</v>
      </c>
      <c r="C33" s="21">
        <f>C10+C32</f>
        <v>1131830.0</v>
      </c>
      <c r="D33" s="21">
        <f>D10+D32</f>
        <v>5594400.0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50" customWidth="1" min="7" max="7"/>
  </cols>
  <sheetData>
    <row r="1">
      <c r="A1" s="1" t="inlineStr">
        <is>
          <t>Sensitivitas dan titik impas</t>
        </is>
      </c>
    </row>
    <row r="2">
      <c r="A2" s="2" t="inlineStr">
        <is>
          <t>Net per tahun sebelum PPh dan RevenueCat (kecepatan penuh), dikurangi biaya tetap tahunan.</t>
        </is>
      </c>
    </row>
    <row r="3">
      <c r="A3" s="11" t="inlineStr">
        <is>
          <t>Porsi Ultimate dari pelanggan berbayar</t>
        </is>
      </c>
      <c r="B3" s="13" t="n">
        <v>0.25</v>
      </c>
      <c r="C3" s="2" t="inlineStr">
        <is>
          <t>Ubah sesuai skenario yang ingin dilihat.</t>
        </is>
      </c>
    </row>
    <row r="5">
      <c r="A5" s="27" t="inlineStr">
        <is>
          <t>Pengguna aktif bulanan  \  Konversi ke berbayar</t>
        </is>
      </c>
      <c r="B5" s="28" t="n">
        <v>0.01</v>
      </c>
      <c r="C5" s="28" t="n">
        <v>0.02</v>
      </c>
      <c r="D5" s="28" t="n">
        <v>0.03</v>
      </c>
      <c r="E5" s="28" t="n">
        <v>0.04</v>
      </c>
      <c r="F5" s="28" t="n">
        <v>0.05</v>
      </c>
    </row>
    <row r="6">
      <c r="A6" s="29" t="n">
        <v>500</v>
      </c>
      <c r="B6" s="21">
        <f>$A6*B$5*((1-$B$3)*Per_Pelanggan!$B$9+$B$3*Per_Pelanggan!$C$9)*12-Asumsi!$B$34*12</f>
        <v>412630.0</v>
      </c>
      <c r="C6" s="21">
        <f>$A6*C$5*((1-$B$3)*Per_Pelanggan!$B$9+$B$3*Per_Pelanggan!$C$9)*12-Asumsi!$B$34*12</f>
        <v>825260.0</v>
      </c>
      <c r="D6" s="21">
        <f>$A6*D$5*((1-$B$3)*Per_Pelanggan!$B$9+$B$3*Per_Pelanggan!$C$9)*12-Asumsi!$B$34*12</f>
        <v>1237890.0</v>
      </c>
      <c r="E6" s="21">
        <f>$A6*E$5*((1-$B$3)*Per_Pelanggan!$B$9+$B$3*Per_Pelanggan!$C$9)*12-Asumsi!$B$34*12</f>
        <v>1650520.0</v>
      </c>
      <c r="F6" s="21">
        <f>$A6*F$5*((1-$B$3)*Per_Pelanggan!$B$9+$B$3*Per_Pelanggan!$C$9)*12-Asumsi!$B$34*12</f>
        <v>2063150.0000000002</v>
      </c>
      <c r="G6" s="2" t="inlineStr">
        <is>
          <t>Isi tabel = Rp per tahun. Edit angka biru di baris/kolom judul untuk titik lain.</t>
        </is>
      </c>
    </row>
    <row r="7">
      <c r="A7" s="29" t="n">
        <v>1000</v>
      </c>
      <c r="B7" s="21">
        <f>$A7*B$5*((1-$B$3)*Per_Pelanggan!$B$9+$B$3*Per_Pelanggan!$C$9)*12-Asumsi!$B$34*12</f>
        <v>825260.0</v>
      </c>
      <c r="C7" s="21">
        <f>$A7*C$5*((1-$B$3)*Per_Pelanggan!$B$9+$B$3*Per_Pelanggan!$C$9)*12-Asumsi!$B$34*12</f>
        <v>1650520.0</v>
      </c>
      <c r="D7" s="21">
        <f>$A7*D$5*((1-$B$3)*Per_Pelanggan!$B$9+$B$3*Per_Pelanggan!$C$9)*12-Asumsi!$B$34*12</f>
        <v>2475780.0</v>
      </c>
      <c r="E7" s="21">
        <f>$A7*E$5*((1-$B$3)*Per_Pelanggan!$B$9+$B$3*Per_Pelanggan!$C$9)*12-Asumsi!$B$34*12</f>
        <v>3301040.0</v>
      </c>
      <c r="F7" s="21">
        <f>$A7*F$5*((1-$B$3)*Per_Pelanggan!$B$9+$B$3*Per_Pelanggan!$C$9)*12-Asumsi!$B$34*12</f>
        <v>4126300.0000000005</v>
      </c>
    </row>
    <row r="8">
      <c r="A8" s="29" t="n">
        <v>2500</v>
      </c>
      <c r="B8" s="21">
        <f>$A8*B$5*((1-$B$3)*Per_Pelanggan!$B$9+$B$3*Per_Pelanggan!$C$9)*12-Asumsi!$B$34*12</f>
        <v>2063150.0000000002</v>
      </c>
      <c r="C8" s="21">
        <f>$A8*C$5*((1-$B$3)*Per_Pelanggan!$B$9+$B$3*Per_Pelanggan!$C$9)*12-Asumsi!$B$34*12</f>
        <v>4126300.0000000005</v>
      </c>
      <c r="D8" s="21">
        <f>$A8*D$5*((1-$B$3)*Per_Pelanggan!$B$9+$B$3*Per_Pelanggan!$C$9)*12-Asumsi!$B$34*12</f>
        <v>6189450.0</v>
      </c>
      <c r="E8" s="21">
        <f>$A8*E$5*((1-$B$3)*Per_Pelanggan!$B$9+$B$3*Per_Pelanggan!$C$9)*12-Asumsi!$B$34*12</f>
        <v>8252600.000000001</v>
      </c>
      <c r="F8" s="21">
        <f>$A8*F$5*((1-$B$3)*Per_Pelanggan!$B$9+$B$3*Per_Pelanggan!$C$9)*12-Asumsi!$B$34*12</f>
        <v>10315750.0</v>
      </c>
    </row>
    <row r="9">
      <c r="A9" s="29" t="n">
        <v>5000</v>
      </c>
      <c r="B9" s="21">
        <f>$A9*B$5*((1-$B$3)*Per_Pelanggan!$B$9+$B$3*Per_Pelanggan!$C$9)*12-Asumsi!$B$34*12</f>
        <v>4126300.0000000005</v>
      </c>
      <c r="C9" s="21">
        <f>$A9*C$5*((1-$B$3)*Per_Pelanggan!$B$9+$B$3*Per_Pelanggan!$C$9)*12-Asumsi!$B$34*12</f>
        <v>8252600.000000001</v>
      </c>
      <c r="D9" s="21">
        <f>$A9*D$5*((1-$B$3)*Per_Pelanggan!$B$9+$B$3*Per_Pelanggan!$C$9)*12-Asumsi!$B$34*12</f>
        <v>12378900.0</v>
      </c>
      <c r="E9" s="21">
        <f>$A9*E$5*((1-$B$3)*Per_Pelanggan!$B$9+$B$3*Per_Pelanggan!$C$9)*12-Asumsi!$B$34*12</f>
        <v>16505200.000000002</v>
      </c>
      <c r="F9" s="21">
        <f>$A9*F$5*((1-$B$3)*Per_Pelanggan!$B$9+$B$3*Per_Pelanggan!$C$9)*12-Asumsi!$B$34*12</f>
        <v>20631500.0</v>
      </c>
    </row>
    <row r="10">
      <c r="A10" s="29" t="n">
        <v>10000</v>
      </c>
      <c r="B10" s="21">
        <f>$A10*B$5*((1-$B$3)*Per_Pelanggan!$B$9+$B$3*Per_Pelanggan!$C$9)*12-Asumsi!$B$34*12</f>
        <v>8252600.000000001</v>
      </c>
      <c r="C10" s="21">
        <f>$A10*C$5*((1-$B$3)*Per_Pelanggan!$B$9+$B$3*Per_Pelanggan!$C$9)*12-Asumsi!$B$34*12</f>
        <v>16505200.000000002</v>
      </c>
      <c r="D10" s="21">
        <f>$A10*D$5*((1-$B$3)*Per_Pelanggan!$B$9+$B$3*Per_Pelanggan!$C$9)*12-Asumsi!$B$34*12</f>
        <v>24757800.0</v>
      </c>
      <c r="E10" s="21">
        <f>$A10*E$5*((1-$B$3)*Per_Pelanggan!$B$9+$B$3*Per_Pelanggan!$C$9)*12-Asumsi!$B$34*12</f>
        <v>33010400.000000004</v>
      </c>
      <c r="F10" s="21">
        <f>$A10*F$5*((1-$B$3)*Per_Pelanggan!$B$9+$B$3*Per_Pelanggan!$C$9)*12-Asumsi!$B$34*12</f>
        <v>41263000.0</v>
      </c>
    </row>
    <row r="11">
      <c r="A11" s="29" t="n">
        <v>20000</v>
      </c>
      <c r="B11" s="21">
        <f>$A11*B$5*((1-$B$3)*Per_Pelanggan!$B$9+$B$3*Per_Pelanggan!$C$9)*12-Asumsi!$B$34*12</f>
        <v>16505200.000000002</v>
      </c>
      <c r="C11" s="21">
        <f>$A11*C$5*((1-$B$3)*Per_Pelanggan!$B$9+$B$3*Per_Pelanggan!$C$9)*12-Asumsi!$B$34*12</f>
        <v>33010400.000000004</v>
      </c>
      <c r="D11" s="21">
        <f>$A11*D$5*((1-$B$3)*Per_Pelanggan!$B$9+$B$3*Per_Pelanggan!$C$9)*12-Asumsi!$B$34*12</f>
        <v>49515600.0</v>
      </c>
      <c r="E11" s="21">
        <f>$A11*E$5*((1-$B$3)*Per_Pelanggan!$B$9+$B$3*Per_Pelanggan!$C$9)*12-Asumsi!$B$34*12</f>
        <v>66020800.00000001</v>
      </c>
      <c r="F11" s="21">
        <f>$A11*F$5*((1-$B$3)*Per_Pelanggan!$B$9+$B$3*Per_Pelanggan!$C$9)*12-Asumsi!$B$34*12</f>
        <v>82526000.0</v>
      </c>
    </row>
    <row r="12">
      <c r="A12" s="29" t="n">
        <v>50000</v>
      </c>
      <c r="B12" s="21">
        <f>$A12*B$5*((1-$B$3)*Per_Pelanggan!$B$9+$B$3*Per_Pelanggan!$C$9)*12-Asumsi!$B$34*12</f>
        <v>41263000.0</v>
      </c>
      <c r="C12" s="21">
        <f>$A12*C$5*((1-$B$3)*Per_Pelanggan!$B$9+$B$3*Per_Pelanggan!$C$9)*12-Asumsi!$B$34*12</f>
        <v>82526000.0</v>
      </c>
      <c r="D12" s="21">
        <f>$A12*D$5*((1-$B$3)*Per_Pelanggan!$B$9+$B$3*Per_Pelanggan!$C$9)*12-Asumsi!$B$34*12</f>
        <v>123789000.0</v>
      </c>
      <c r="E12" s="21">
        <f>$A12*E$5*((1-$B$3)*Per_Pelanggan!$B$9+$B$3*Per_Pelanggan!$C$9)*12-Asumsi!$B$34*12</f>
        <v>165052000.0</v>
      </c>
      <c r="F12" s="21">
        <f>$A12*F$5*((1-$B$3)*Per_Pelanggan!$B$9+$B$3*Per_Pelanggan!$C$9)*12-Asumsi!$B$34*12</f>
        <v>206315000.0</v>
      </c>
    </row>
    <row r="15">
      <c r="A15" s="9" t="inlineStr">
        <is>
          <t>Titik impas terhadap target penghasilan</t>
        </is>
      </c>
      <c r="B15" s="10" t="n"/>
      <c r="C15" s="10" t="n"/>
      <c r="D15" s="10" t="n"/>
    </row>
    <row r="16">
      <c r="A16" s="11" t="inlineStr">
        <is>
          <t>Target net per bulan (Rp)</t>
        </is>
      </c>
      <c r="B16" s="12" t="n">
        <v>5000000</v>
      </c>
      <c r="C16" s="2" t="inlineStr">
        <is>
          <t>Sebelum PPh. Tidak termasuk pendapatan iklan.</t>
        </is>
      </c>
    </row>
    <row r="17">
      <c r="A17" s="11" t="inlineStr">
        <is>
          <t>Net rata-rata per pelanggan berbayar per bulan (Rp)</t>
        </is>
      </c>
      <c r="B17" s="21">
        <f>(1-$B$3)*Per_Pelanggan!$B$9+$B$3*Per_Pelanggan!$C$9</f>
        <v>6877.166666666667</v>
      </c>
    </row>
    <row r="18">
      <c r="A18" s="11" t="inlineStr">
        <is>
          <t>Pelanggan berbayar yang dibutuhkan</t>
        </is>
      </c>
      <c r="B18" s="23">
        <f>IF(B17&lt;=0,0,ROUNDUP(($B$16+Asumsi!$B$34)/B17,0))</f>
        <v>728.0</v>
      </c>
    </row>
    <row r="19">
      <c r="A19" s="11" t="inlineStr">
        <is>
          <t>Konversi yang diasumsikan</t>
        </is>
      </c>
      <c r="B19" s="13" t="n">
        <v>0.02</v>
      </c>
    </row>
    <row r="20">
      <c r="A20" s="11" t="inlineStr">
        <is>
          <t>Pengguna aktif bulanan yang dibutuhkan</t>
        </is>
      </c>
      <c r="B20" s="23">
        <f>IF(B19&lt;=0,0,ROUNDUP(B18/B19,0))</f>
        <v>36400.0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2026-10-05T03:07:29Z</dcterms:created>
  <dcterms:modified xmlns:dcterms="http://purl.org/dc/terms/" xmlns:xsi="http://www.w3.org/2001/XMLSchema-instance" xsi:type="dcterms:W3CDTF">2026-10-09T03:17:57Z</dcterms:modified>
</cp:coreProperties>
</file>